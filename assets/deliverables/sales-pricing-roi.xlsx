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" sheetId="1" state="visible" r:id="rId3"/>
    <sheet name="Greenline Proposal" sheetId="2" state="visible" r:id="rId4"/>
    <sheet name="ROI Calculat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<sst xmlns="http://schemas.openxmlformats.org/spreadsheetml/2006/main" count="73" uniqueCount="66">
  <si>
    <t xml:space="preserve">SyncFlow — Pricing</t>
  </si>
  <si>
    <t xml:space="preserve">Annual list pricing (per customer). Enterprise is custom-quoted.</t>
  </si>
  <si>
    <t xml:space="preserve">Tier</t>
  </si>
  <si>
    <t xml:space="preserve">Annual Price</t>
  </si>
  <si>
    <t xml:space="preserve">Best for</t>
  </si>
  <si>
    <t xml:space="preserve">Connectors</t>
  </si>
  <si>
    <t xml:space="preserve">Real-Time Sync</t>
  </si>
  <si>
    <t xml:space="preserve">Compliance Engine</t>
  </si>
  <si>
    <t xml:space="preserve">Support</t>
  </si>
  <si>
    <t xml:space="preserve">Starter</t>
  </si>
  <si>
    <t xml:space="preserve">Small teams, 1–2 systems</t>
  </si>
  <si>
    <t xml:space="preserve">Up to 3</t>
  </si>
  <si>
    <t xml:space="preserve">Standard</t>
  </si>
  <si>
    <t xml:space="preserve">Audit log</t>
  </si>
  <si>
    <t xml:space="preserve">Email</t>
  </si>
  <si>
    <t xml:space="preserve">Pro</t>
  </si>
  <si>
    <t xml:space="preserve">Mid-market, multi-system</t>
  </si>
  <si>
    <t xml:space="preserve">Up to 10</t>
  </si>
  <si>
    <t xml:space="preserve">Advanced</t>
  </si>
  <si>
    <t xml:space="preserve">Full (SOC 2)</t>
  </si>
  <si>
    <t xml:space="preserve">Priority + SE</t>
  </si>
  <si>
    <t xml:space="preserve">Enterprise</t>
  </si>
  <si>
    <t xml:space="preserve">Custom</t>
  </si>
  <si>
    <t xml:space="preserve">Complex / regulated</t>
  </si>
  <si>
    <t xml:space="preserve">Unlimited</t>
  </si>
  <si>
    <t xml:space="preserve">Advanced + SLAs</t>
  </si>
  <si>
    <t xml:space="preserve">Full + HIPAA/data residency</t>
  </si>
  <si>
    <t xml:space="preserve">Dedicated CSM</t>
  </si>
  <si>
    <t xml:space="preserve">Pro tier is the recommended fit for most mid-market accounts (e.g., Greenline).</t>
  </si>
  <si>
    <t xml:space="preserve">Greenline Logistics — SyncFlow Proposal</t>
  </si>
  <si>
    <t xml:space="preserve">Prepared by Jordan, Account Executive · (TEST) simulation</t>
  </si>
  <si>
    <t xml:space="preserve">Summary</t>
  </si>
  <si>
    <t xml:space="preserve">Greenline (VP Ops, Derek Santos) tracks inventory manually across warehouses, causing lag, errors, and wasted hours. SyncFlow connects their WMS/ERP/spreadsheets via the Integration Hub and keeps inventory consistent everywhere with Real-Time Sync — eliminating manual reconciliation.</t>
  </si>
  <si>
    <t xml:space="preserve">Pricing Tier Selection</t>
  </si>
  <si>
    <t xml:space="preserve">Selected</t>
  </si>
  <si>
    <t xml:space="preserve">✓ Recommended</t>
  </si>
  <si>
    <t xml:space="preserve">Selected annual price</t>
  </si>
  <si>
    <t xml:space="preserve">Expected annual ROI (from ROI Calculator)</t>
  </si>
  <si>
    <t xml:space="preserve">Payback period (months)</t>
  </si>
  <si>
    <t xml:space="preserve">Implementation Plan (3 steps)</t>
  </si>
  <si>
    <t xml:space="preserve">Step</t>
  </si>
  <si>
    <t xml:space="preserve">Timeline</t>
  </si>
  <si>
    <t xml:space="preserve">Activities</t>
  </si>
  <si>
    <t xml:space="preserve">1 · Connect</t>
  </si>
  <si>
    <t xml:space="preserve">Week 1–2</t>
  </si>
  <si>
    <t xml:space="preserve">Stand up the Integration Hub; connect WMS, ERP, and existing spreadsheets. Validate data mapping.</t>
  </si>
  <si>
    <t xml:space="preserve">2 · Sync</t>
  </si>
  <si>
    <t xml:space="preserve">Week 3–4</t>
  </si>
  <si>
    <t xml:space="preserve">Enable Real-Time Sync across systems; configure inventory rules and alerts. Parallel-run vs. manual.</t>
  </si>
  <si>
    <t xml:space="preserve">3 · Go Live</t>
  </si>
  <si>
    <t xml:space="preserve">Week 5–6</t>
  </si>
  <si>
    <t xml:space="preserve">Cut over to SyncFlow as source of truth; train ops team; hand off to Customer Success with success metrics.</t>
  </si>
  <si>
    <t xml:space="preserve">SyncFlow — ROI Calculator (Greenline)</t>
  </si>
  <si>
    <t xml:space="preserve">Blue cells = inputs you can change. Black cells = calculated.</t>
  </si>
  <si>
    <t xml:space="preserve">INPUTS</t>
  </si>
  <si>
    <t xml:space="preserve">Hours saved per week</t>
  </si>
  <si>
    <t xml:space="preserve">Fully-loaded hourly cost</t>
  </si>
  <si>
    <t xml:space="preserve">Systems integrated</t>
  </si>
  <si>
    <t xml:space="preserve">Weeks per year</t>
  </si>
  <si>
    <t xml:space="preserve">Selected tier annual price</t>
  </si>
  <si>
    <t xml:space="preserve">OUTPUTS</t>
  </si>
  <si>
    <t xml:space="preserve">Weekly savings</t>
  </si>
  <si>
    <t xml:space="preserve">Annual savings</t>
  </si>
  <si>
    <t xml:space="preserve">Annual value per system</t>
  </si>
  <si>
    <t xml:space="preserve">First-year net value (savings − price)</t>
  </si>
  <si>
    <t xml:space="preserve">3-year net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</si>
</sst>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"/>
    <numFmt numFmtId="167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3A4B"/>
      <name val="Calibri"/>
      <family val="0"/>
      <charset val="1"/>
    </font>
    <font>
      <i val="true"/>
      <sz val="10"/>
      <color rgb="FF64748B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name val="Calibri"/>
      <family val="0"/>
      <charset val="1"/>
    </font>
    <font>
      <i val="true"/>
      <sz val="10"/>
      <color rgb="FF028090"/>
      <name val="Calibri"/>
      <family val="0"/>
      <charset val="1"/>
    </font>
    <font>
      <b val="true"/>
      <sz val="13"/>
      <color rgb="FF0B3A4B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28090"/>
      <name val="Calibri"/>
      <family val="0"/>
      <charset val="1"/>
    </font>
    <font>
      <b val="true"/>
      <sz val="12"/>
      <color rgb="FF0B3A4B"/>
      <name val="Calibri"/>
      <family val="0"/>
      <charset val="1"/>
    </font>
    <font>
      <b val="true"/>
      <sz val="12"/>
      <color rgb="FF028090"/>
      <name val="Calibri"/>
      <family val="0"/>
      <charset val="1"/>
    </font>
    <font>
      <b val="true"/>
      <sz val="12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A4B"/>
        <bgColor rgb="FF333333"/>
      </patternFill>
    </fill>
    <fill>
      <patternFill patternType="solid">
        <fgColor rgb="FFE7F5F2"/>
        <bgColor rgb="FFFFFFFF"/>
      </patternFill>
    </fill>
    <fill>
      <patternFill patternType="solid">
        <fgColor rgb="FFFFF4CE"/>
        <bgColor rgb="FFE7F5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3E8"/>
      </left>
      <right style="thin">
        <color rgb="FFD7E3E8"/>
      </right>
      <top style="thin">
        <color rgb="FFD7E3E8"/>
      </top>
      <bottom style="thin">
        <color rgb="FFD7E3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0C0C0"/>
      <rgbColor rgb="FF808080"/>
      <rgbColor rgb="FF9999FF"/>
      <rgbColor rgb="FF993366"/>
      <rgbColor rgb="FFFFF4CE"/>
      <rgbColor rgb="FFE7F5F2"/>
      <rgbColor rgb="FF660066"/>
      <rgbColor rgb="FFFF8080"/>
      <rgbColor rgb="FF0066CC"/>
      <rgbColor rgb="FFD7E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B3A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6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5000</v>
      </c>
      <c r="C5" s="6" t="s">
        <v>10</v>
      </c>
      <c r="D5" s="7" t="s">
        <v>11</v>
      </c>
      <c r="E5" s="6" t="s">
        <v>12</v>
      </c>
      <c r="F5" s="6" t="s">
        <v>13</v>
      </c>
      <c r="G5" s="6" t="s">
        <v>14</v>
      </c>
    </row>
    <row r="6" customFormat="false" ht="15" hidden="false" customHeight="false" outlineLevel="0" collapsed="false">
      <c r="A6" s="8" t="s">
        <v>15</v>
      </c>
      <c r="B6" s="9" t="n">
        <v>8000</v>
      </c>
      <c r="C6" s="10" t="s">
        <v>16</v>
      </c>
      <c r="D6" s="11" t="s">
        <v>17</v>
      </c>
      <c r="E6" s="10" t="s">
        <v>18</v>
      </c>
      <c r="F6" s="10" t="s">
        <v>19</v>
      </c>
      <c r="G6" s="10" t="s">
        <v>20</v>
      </c>
    </row>
    <row r="7" customFormat="false" ht="15" hidden="false" customHeight="false" outlineLevel="0" collapsed="false">
      <c r="A7" s="4" t="s">
        <v>21</v>
      </c>
      <c r="B7" s="7" t="s">
        <v>22</v>
      </c>
      <c r="C7" s="6" t="s">
        <v>23</v>
      </c>
      <c r="D7" s="7" t="s">
        <v>24</v>
      </c>
      <c r="E7" s="6" t="s">
        <v>25</v>
      </c>
      <c r="F7" s="6" t="s">
        <v>26</v>
      </c>
      <c r="G7" s="6" t="s">
        <v>27</v>
      </c>
    </row>
    <row r="9" customFormat="false" ht="15" hidden="false" customHeight="false" outlineLevel="0" collapsed="false">
      <c r="A9" s="1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6" min="4" style="0" width="4"/>
  </cols>
  <sheetData>
    <row r="1" customFormat="false" ht="18.5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6.15" hidden="false" customHeight="false" outlineLevel="0" collapsed="false">
      <c r="A4" s="13" t="s">
        <v>31</v>
      </c>
    </row>
    <row r="5" customFormat="false" ht="15" hidden="false" customHeight="true" outlineLevel="0" collapsed="false">
      <c r="A5" s="14" t="s">
        <v>32</v>
      </c>
      <c r="B5" s="14"/>
      <c r="C5" s="14"/>
      <c r="D5" s="14"/>
      <c r="E5" s="14"/>
      <c r="F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</row>
    <row r="10" customFormat="false" ht="16.15" hidden="false" customHeight="false" outlineLevel="0" collapsed="false">
      <c r="A10" s="13" t="s">
        <v>33</v>
      </c>
    </row>
    <row r="11" customFormat="false" ht="15" hidden="false" customHeight="false" outlineLevel="0" collapsed="false">
      <c r="A11" s="3" t="s">
        <v>2</v>
      </c>
      <c r="B11" s="3" t="s">
        <v>3</v>
      </c>
      <c r="C11" s="3" t="s">
        <v>34</v>
      </c>
    </row>
    <row r="12" customFormat="false" ht="15" hidden="false" customHeight="false" outlineLevel="0" collapsed="false">
      <c r="A12" s="15" t="s">
        <v>9</v>
      </c>
      <c r="B12" s="16" t="n">
        <f aca="false">Pricing!B5</f>
        <v>5000</v>
      </c>
      <c r="C12" s="17"/>
    </row>
    <row r="13" customFormat="false" ht="15" hidden="false" customHeight="false" outlineLevel="0" collapsed="false">
      <c r="A13" s="18" t="s">
        <v>15</v>
      </c>
      <c r="B13" s="19" t="n">
        <f aca="false">Pricing!B6</f>
        <v>8000</v>
      </c>
      <c r="C13" s="20" t="s">
        <v>35</v>
      </c>
    </row>
    <row r="14" customFormat="false" ht="15" hidden="false" customHeight="false" outlineLevel="0" collapsed="false">
      <c r="A14" s="15" t="s">
        <v>21</v>
      </c>
      <c r="B14" s="21" t="s">
        <v>22</v>
      </c>
      <c r="C14" s="17"/>
    </row>
    <row r="16" customFormat="false" ht="15" hidden="false" customHeight="false" outlineLevel="0" collapsed="false">
      <c r="A16" s="22" t="s">
        <v>36</v>
      </c>
      <c r="B16" s="23" t="n">
        <f aca="false">Pricing!B6</f>
        <v>8000</v>
      </c>
    </row>
    <row r="17" customFormat="false" ht="15" hidden="false" customHeight="false" outlineLevel="0" collapsed="false">
      <c r="A17" s="22" t="s">
        <v>37</v>
      </c>
      <c r="B17" s="24" t="n">
        <f aca="false">'ROI Calculator'!B13</f>
        <v>78000</v>
      </c>
    </row>
    <row r="18" customFormat="false" ht="15" hidden="false" customHeight="false" outlineLevel="0" collapsed="false">
      <c r="A18" s="22" t="s">
        <v>38</v>
      </c>
      <c r="B18" s="25" t="n">
        <f aca="false">'ROI Calculator'!B15</f>
        <v>1.23076923076923</v>
      </c>
    </row>
    <row r="20" customFormat="false" ht="16.15" hidden="false" customHeight="false" outlineLevel="0" collapsed="false">
      <c r="A20" s="13" t="s">
        <v>39</v>
      </c>
    </row>
    <row r="21" customFormat="false" ht="15" hidden="false" customHeight="false" outlineLevel="0" collapsed="false">
      <c r="A21" s="3" t="s">
        <v>40</v>
      </c>
      <c r="B21" s="3" t="s">
        <v>41</v>
      </c>
      <c r="C21" s="3" t="s">
        <v>42</v>
      </c>
    </row>
    <row r="22" customFormat="false" ht="23.85" hidden="false" customHeight="false" outlineLevel="0" collapsed="false">
      <c r="A22" s="4" t="s">
        <v>43</v>
      </c>
      <c r="B22" s="7" t="s">
        <v>44</v>
      </c>
      <c r="C22" s="6" t="s">
        <v>45</v>
      </c>
    </row>
    <row r="23" customFormat="false" ht="23.85" hidden="false" customHeight="false" outlineLevel="0" collapsed="false">
      <c r="A23" s="4" t="s">
        <v>46</v>
      </c>
      <c r="B23" s="7" t="s">
        <v>47</v>
      </c>
      <c r="C23" s="6" t="s">
        <v>48</v>
      </c>
    </row>
    <row r="24" customFormat="false" ht="23.85" hidden="false" customHeight="false" outlineLevel="0" collapsed="false">
      <c r="A24" s="4" t="s">
        <v>49</v>
      </c>
      <c r="B24" s="7" t="s">
        <v>50</v>
      </c>
      <c r="C24" s="6" t="s">
        <v>51</v>
      </c>
    </row>
  </sheetData>
  <mergeCells count="1">
    <mergeCell ref="A5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8.5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6.15" hidden="false" customHeight="false" outlineLevel="0" collapsed="false">
      <c r="A4" s="13" t="s">
        <v>54</v>
      </c>
    </row>
    <row r="5" customFormat="false" ht="15" hidden="false" customHeight="false" outlineLevel="0" collapsed="false">
      <c r="A5" s="26" t="s">
        <v>55</v>
      </c>
      <c r="B5" s="27" t="n">
        <v>15</v>
      </c>
    </row>
    <row r="6" customFormat="false" ht="15" hidden="false" customHeight="false" outlineLevel="0" collapsed="false">
      <c r="A6" s="26" t="s">
        <v>56</v>
      </c>
      <c r="B6" s="28" t="n">
        <v>100</v>
      </c>
    </row>
    <row r="7" customFormat="false" ht="15" hidden="false" customHeight="false" outlineLevel="0" collapsed="false">
      <c r="A7" s="26" t="s">
        <v>57</v>
      </c>
      <c r="B7" s="27" t="n">
        <v>4</v>
      </c>
    </row>
    <row r="8" customFormat="false" ht="15" hidden="false" customHeight="false" outlineLevel="0" collapsed="false">
      <c r="A8" s="26" t="s">
        <v>58</v>
      </c>
      <c r="B8" s="27" t="n">
        <v>52</v>
      </c>
    </row>
    <row r="9" customFormat="false" ht="15" hidden="false" customHeight="false" outlineLevel="0" collapsed="false">
      <c r="A9" s="26" t="s">
        <v>59</v>
      </c>
      <c r="B9" s="16" t="n">
        <f aca="false">Pricing!B6</f>
        <v>8000</v>
      </c>
    </row>
    <row r="11" customFormat="false" ht="16.15" hidden="false" customHeight="false" outlineLevel="0" collapsed="false">
      <c r="A11" s="13" t="s">
        <v>60</v>
      </c>
    </row>
    <row r="12" customFormat="false" ht="15" hidden="false" customHeight="false" outlineLevel="0" collapsed="false">
      <c r="A12" s="26" t="s">
        <v>61</v>
      </c>
      <c r="B12" s="16" t="n">
        <f aca="false">B5*B6</f>
        <v>1500</v>
      </c>
    </row>
    <row r="13" customFormat="false" ht="15" hidden="false" customHeight="false" outlineLevel="0" collapsed="false">
      <c r="A13" s="15" t="s">
        <v>62</v>
      </c>
      <c r="B13" s="29" t="n">
        <f aca="false">B5*B6*B8</f>
        <v>78000</v>
      </c>
    </row>
    <row r="14" customFormat="false" ht="15" hidden="false" customHeight="false" outlineLevel="0" collapsed="false">
      <c r="A14" s="26" t="s">
        <v>63</v>
      </c>
      <c r="B14" s="16" t="n">
        <f aca="false">B13/B7</f>
        <v>19500</v>
      </c>
    </row>
    <row r="15" customFormat="false" ht="15" hidden="false" customHeight="false" outlineLevel="0" collapsed="false">
      <c r="A15" s="15" t="s">
        <v>38</v>
      </c>
      <c r="B15" s="30" t="n">
        <f aca="false">B9/B13*12</f>
        <v>1.23076923076923</v>
      </c>
    </row>
    <row r="16" customFormat="false" ht="15" hidden="false" customHeight="false" outlineLevel="0" collapsed="false">
      <c r="A16" s="26" t="s">
        <v>64</v>
      </c>
      <c r="B16" s="16" t="n">
        <f aca="false">B13-B9</f>
        <v>70000</v>
      </c>
    </row>
    <row r="17" customFormat="false" ht="15" hidden="false" customHeight="false" outlineLevel="0" collapsed="false">
      <c r="A17" s="26" t="s">
        <v>65</v>
      </c>
      <c r="B17" s="16" t="n">
        <f aca="false">B13*3-B9*3</f>
        <v>210000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2026-06-14T08:22:59Z</dcterms:created>
  <dc:creator>openpyxl</dc:creator>
  <dc:description/>
  <dc:language>en-US</dc:language>
  <cp:lastModifiedBy/>
  <dcterms:modified xsi:type="dcterms:W3CDTF">2026-06-14T08:22:59Z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