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 Audit" sheetId="1" state="visible" r:id="rId3"/>
    <sheet name="Summary Dashboard" sheetId="2" state="visible" r:id="rId4"/>
    <sheet name="Deal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<sst xmlns="http://schemas.openxmlformats.org/spreadsheetml/2006/main" count="380" uniqueCount="142">
  <si>
    <t xml:space="preserve">Date</t>
  </si>
  <si>
    <t xml:space="preserve">Day</t>
  </si>
  <si>
    <t xml:space="preserve">Start</t>
  </si>
  <si>
    <t xml:space="preserve">End</t>
  </si>
  <si>
    <t xml:space="preserve">Duration (h)</t>
  </si>
  <si>
    <t xml:space="preserve">Event</t>
  </si>
  <si>
    <t xml:space="preserve">Scope</t>
  </si>
  <si>
    <t xml:space="preserve">Category</t>
  </si>
  <si>
    <t xml:space="preserve">Week</t>
  </si>
  <si>
    <t xml:space="preserve">Wednesday</t>
  </si>
  <si>
    <t xml:space="preserve">Team Standup</t>
  </si>
  <si>
    <t xml:space="preserve">Internal</t>
  </si>
  <si>
    <t xml:space="preserve">Standup</t>
  </si>
  <si>
    <t xml:space="preserve">CRM Hygiene &amp; Pipeline Update</t>
  </si>
  <si>
    <t xml:space="preserve">Solo</t>
  </si>
  <si>
    <t xml:space="preserve">Admin</t>
  </si>
  <si>
    <t xml:space="preserve">Greenline Logistics — Proposal Review</t>
  </si>
  <si>
    <t xml:space="preserve">External</t>
  </si>
  <si>
    <t xml:space="preserve">Deal Call</t>
  </si>
  <si>
    <t xml:space="preserve">SDR Sync w/ Carlos Mendez — Lead Handoff</t>
  </si>
  <si>
    <t xml:space="preserve">SDR Sync</t>
  </si>
  <si>
    <t xml:space="preserve">NovaTech Solutions — Re-engagement Call</t>
  </si>
  <si>
    <t xml:space="preserve">Prospecting Block — Outbound</t>
  </si>
  <si>
    <t xml:space="preserve">Weekly 1:1 w/ Lisa Tran</t>
  </si>
  <si>
    <t xml:space="preserve">1:1</t>
  </si>
  <si>
    <t xml:space="preserve">Proposal Prep — Greenline Pricing</t>
  </si>
  <si>
    <t xml:space="preserve">Email Follow-ups &amp; Notes</t>
  </si>
  <si>
    <t xml:space="preserve">Thursday</t>
  </si>
  <si>
    <t xml:space="preserve">Apex Financial — Technical Deep Dive w/ Kevin Lee</t>
  </si>
  <si>
    <t xml:space="preserve">Coastal Health Systems — Inbound Discovery</t>
  </si>
  <si>
    <t xml:space="preserve">CRM Updates — Log Discovery Notes</t>
  </si>
  <si>
    <t xml:space="preserve">Deal Strategy — Apex w/ Kevin Lee</t>
  </si>
  <si>
    <t xml:space="preserve">Deal Strategy</t>
  </si>
  <si>
    <t xml:space="preserve">Prospecting Block — Account Research</t>
  </si>
  <si>
    <t xml:space="preserve">Coastal — Demo Prep &amp; Stakeholder Mapping</t>
  </si>
  <si>
    <t xml:space="preserve">Pipeline Review w/ Marcus Chen</t>
  </si>
  <si>
    <t xml:space="preserve">Pipeline Review</t>
  </si>
  <si>
    <t xml:space="preserve">Email Follow-ups</t>
  </si>
  <si>
    <t xml:space="preserve">Friday</t>
  </si>
  <si>
    <t xml:space="preserve">BrightPath Education — CFO Intro Call</t>
  </si>
  <si>
    <t xml:space="preserve">Meridian Retail — First Discovery Call</t>
  </si>
  <si>
    <t xml:space="preserve">CRM Updates &amp; Activity Logging</t>
  </si>
  <si>
    <t xml:space="preserve">Coastal Health — Demo Prep w/ Kevin Lee</t>
  </si>
  <si>
    <t xml:space="preserve">SDR Weekly Handoff Sync — Carlos</t>
  </si>
  <si>
    <t xml:space="preserve">Forecast Submission — Week 1</t>
  </si>
  <si>
    <t xml:space="preserve">Prospecting &amp; Outbound Block</t>
  </si>
  <si>
    <t xml:space="preserve">Lunch &amp; Learn: Negotiation Skills Training</t>
  </si>
  <si>
    <t xml:space="preserve">Training</t>
  </si>
  <si>
    <t xml:space="preserve">Monday</t>
  </si>
  <si>
    <t xml:space="preserve">Weekly Planning &amp; CRM Review</t>
  </si>
  <si>
    <t xml:space="preserve">Greenline Logistics — Negotiation Call</t>
  </si>
  <si>
    <t xml:space="preserve">NovaTech Solutions — Follow-up Attempt</t>
  </si>
  <si>
    <t xml:space="preserve">SDR Sync w/ Carlos — New Leads</t>
  </si>
  <si>
    <t xml:space="preserve">Apex — Proposal Build</t>
  </si>
  <si>
    <t xml:space="preserve">Tuesday</t>
  </si>
  <si>
    <t xml:space="preserve">Apex Financial — Proposal Presentation</t>
  </si>
  <si>
    <t xml:space="preserve">Coastal Health Systems — Product Demo w/ Kevin Lee</t>
  </si>
  <si>
    <t xml:space="preserve">CRM Updates — Log Demo Outcomes</t>
  </si>
  <si>
    <t xml:space="preserve">Prospecting &amp; Account Research</t>
  </si>
  <si>
    <t xml:space="preserve">Deal Strategy — Coastal Stakeholders</t>
  </si>
  <si>
    <t xml:space="preserve">Proposal Follow-up — Apex</t>
  </si>
  <si>
    <t xml:space="preserve">BrightPath Education — CFO Meeting</t>
  </si>
  <si>
    <t xml:space="preserve">Meridian Retail — Product Demo</t>
  </si>
  <si>
    <t xml:space="preserve">CRM Hygiene &amp; Notes</t>
  </si>
  <si>
    <t xml:space="preserve">SDR Sync w/ Carlos</t>
  </si>
  <si>
    <t xml:space="preserve">Prospecting Block</t>
  </si>
  <si>
    <t xml:space="preserve">Deal Strategy — BrightPath POC Scoping w/ Kevin</t>
  </si>
  <si>
    <t xml:space="preserve">Forecast Update &amp; CRM</t>
  </si>
  <si>
    <t xml:space="preserve">Greenline Logistics — Verbal Commit / Closing Call</t>
  </si>
  <si>
    <t xml:space="preserve">Coastal Health Systems — Stakeholder Alignment</t>
  </si>
  <si>
    <t xml:space="preserve">NovaTech Solutions — Check-in (Cold)</t>
  </si>
  <si>
    <t xml:space="preserve">CRM Updates — Mark NovaTech Closed Lost</t>
  </si>
  <si>
    <t xml:space="preserve">Greenline — CS Handoff Prep w/ Priya Mehta</t>
  </si>
  <si>
    <t xml:space="preserve">CS Handoff</t>
  </si>
  <si>
    <t xml:space="preserve">Apex Financial — Negotiation Call</t>
  </si>
  <si>
    <t xml:space="preserve">BrightPath Education — POC Kickoff w/ Kevin Lee</t>
  </si>
  <si>
    <t xml:space="preserve">Greenline — CS Handoff w/ Priya Mehta</t>
  </si>
  <si>
    <t xml:space="preserve">CRM Updates &amp; Deal Cleanup</t>
  </si>
  <si>
    <t xml:space="preserve">Forecast Submission — Week 2 / Q2</t>
  </si>
  <si>
    <t xml:space="preserve">Pipeline Review &amp; Forecast w/ Marcus Chen</t>
  </si>
  <si>
    <t xml:space="preserve">Team Happy Hour (Social)</t>
  </si>
  <si>
    <t xml:space="preserve">Social</t>
  </si>
  <si>
    <t xml:space="preserve">TOTAL</t>
  </si>
  <si>
    <t xml:space="preserve">Sales Activity Analytics — Time Allocation Dashboard</t>
  </si>
  <si>
    <t xml:space="preserve">Jordan Reyes · AE · May 5–16, 2027 (2-week sprint) · (TEST) simulation</t>
  </si>
  <si>
    <t xml:space="preserve">HOURS BY CATEGORY</t>
  </si>
  <si>
    <t xml:space="preserve">Hours</t>
  </si>
  <si>
    <t xml:space="preserve">% of Total</t>
  </si>
  <si>
    <t xml:space="preserve">Total</t>
  </si>
  <si>
    <t xml:space="preserve">HOURS BY SCOPE</t>
  </si>
  <si>
    <t xml:space="preserve">HOURS BY WEEK</t>
  </si>
  <si>
    <t xml:space="preserve">Week 1</t>
  </si>
  <si>
    <t xml:space="preserve">Week 2</t>
  </si>
  <si>
    <t xml:space="preserve">KEY METRIC — SELLING TIME</t>
  </si>
  <si>
    <t xml:space="preserve">% of time spent SELLING (external deal calls)</t>
  </si>
  <si>
    <t xml:space="preserve">% of time INTERNAL + ADMIN (everything else)</t>
  </si>
  <si>
    <t xml:space="preserve">Benchmark: most AEs spend only 30–35% selling</t>
  </si>
  <si>
    <t xml:space="preserve">Deal Tracker &amp; Q2 Quota Attainment</t>
  </si>
  <si>
    <t xml:space="preserve">Jordan Reyes · AE · (TEST) simulation · 2-week sprint May 5–16, 2027</t>
  </si>
  <si>
    <t xml:space="preserve">Deal</t>
  </si>
  <si>
    <t xml:space="preserve">Value</t>
  </si>
  <si>
    <t xml:space="preserve">Start Stage</t>
  </si>
  <si>
    <t xml:space="preserve">End Stage</t>
  </si>
  <si>
    <t xml:space="preserve">Key Milestone Dates</t>
  </si>
  <si>
    <t xml:space="preserve"># Mtgs</t>
  </si>
  <si>
    <t xml:space="preserve">Status</t>
  </si>
  <si>
    <t xml:space="preserve">Greenline Logistics</t>
  </si>
  <si>
    <t xml:space="preserve">Proposal</t>
  </si>
  <si>
    <t xml:space="preserve">Verbal Commit (Won)</t>
  </si>
  <si>
    <t xml:space="preserve">5/5 Proposal · 5/10 Negotiation · 5/13 Verbal Commit</t>
  </si>
  <si>
    <t xml:space="preserve">Closed Won</t>
  </si>
  <si>
    <t xml:space="preserve">Apex Financial</t>
  </si>
  <si>
    <t xml:space="preserve">Technical Deep Dive</t>
  </si>
  <si>
    <t xml:space="preserve">Negotiation</t>
  </si>
  <si>
    <t xml:space="preserve">5/6 Deep Dive · 5/11 Proposal · 5/14 Negotiation</t>
  </si>
  <si>
    <t xml:space="preserve">Advancing</t>
  </si>
  <si>
    <t xml:space="preserve">BrightPath Education</t>
  </si>
  <si>
    <t xml:space="preserve">CFO Intro</t>
  </si>
  <si>
    <t xml:space="preserve">POC Kickoff</t>
  </si>
  <si>
    <t xml:space="preserve">5/7 CFO Intro · 5/12 CFO Meeting · 5/14 POC Kickoff</t>
  </si>
  <si>
    <t xml:space="preserve">NovaTech Solutions</t>
  </si>
  <si>
    <t xml:space="preserve">Re-engagement</t>
  </si>
  <si>
    <t xml:space="preserve">Cold</t>
  </si>
  <si>
    <t xml:space="preserve">5/5 Re-engage · 5/10 Follow-up · 5/13 Cold</t>
  </si>
  <si>
    <t xml:space="preserve">At Risk / Lost</t>
  </si>
  <si>
    <t xml:space="preserve">Coastal Health Systems</t>
  </si>
  <si>
    <t xml:space="preserve">Inbound Discovery</t>
  </si>
  <si>
    <t xml:space="preserve">Stakeholder</t>
  </si>
  <si>
    <t xml:space="preserve">5/6 Discovery · 5/11 Demo · 5/13 Stakeholder</t>
  </si>
  <si>
    <t xml:space="preserve">In Progress</t>
  </si>
  <si>
    <t xml:space="preserve">Meridian Retail</t>
  </si>
  <si>
    <t xml:space="preserve">Discovery</t>
  </si>
  <si>
    <t xml:space="preserve">Demo</t>
  </si>
  <si>
    <t xml:space="preserve">5/7 Discovery · 5/12 Demo</t>
  </si>
  <si>
    <t xml:space="preserve">Total Pipeline (all 6)</t>
  </si>
  <si>
    <t xml:space="preserve">Q2 QUOTA TRACKER</t>
  </si>
  <si>
    <t xml:space="preserve">Q2 Quota</t>
  </si>
  <si>
    <t xml:space="preserve">Closed-Won Revenue (Greenline verbal commit)</t>
  </si>
  <si>
    <t xml:space="preserve">Quota Attainment %</t>
  </si>
  <si>
    <t xml:space="preserve">Active Pipeline Value (open: Apex+BrightPath+Coastal+Meridian)</t>
  </si>
  <si>
    <t xml:space="preserve">Closed-Lost (NovaTech)</t>
  </si>
  <si>
    <t xml:space="preserve">Still Needed in June to hit Quota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</si>
</sst>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hh:mm"/>
    <numFmt numFmtId="167" formatCode="0.00"/>
    <numFmt numFmtId="168" formatCode="0.0"/>
    <numFmt numFmtId="169" formatCode="0.0%"/>
    <numFmt numFmtId="170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B4530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2"/>
      <color rgb="FF1F293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4CE"/>
        <bgColor rgb="FFFFEB9C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4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4C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46512</v>
      </c>
      <c r="B2" s="3" t="s">
        <v>9</v>
      </c>
      <c r="C2" s="4" t="n">
        <v>0.375</v>
      </c>
      <c r="D2" s="4" t="n">
        <v>0.385416666666667</v>
      </c>
      <c r="E2" s="5" t="n">
        <f aca="false">(D2-C2)*24</f>
        <v>0.25</v>
      </c>
      <c r="F2" s="6" t="s">
        <v>10</v>
      </c>
      <c r="G2" s="3" t="s">
        <v>11</v>
      </c>
      <c r="H2" s="3" t="s">
        <v>12</v>
      </c>
      <c r="I2" s="3" t="str">
        <f aca="false">IF(A2&lt;=DATE(2027,5,9),"Week 1","Week 2")</f>
        <v>Week 1</v>
      </c>
    </row>
    <row r="3" customFormat="false" ht="15" hidden="false" customHeight="false" outlineLevel="0" collapsed="false">
      <c r="A3" s="2" t="n">
        <v>46512</v>
      </c>
      <c r="B3" s="3" t="s">
        <v>9</v>
      </c>
      <c r="C3" s="4" t="n">
        <v>0.395833333333333</v>
      </c>
      <c r="D3" s="4" t="n">
        <v>0.416666666666667</v>
      </c>
      <c r="E3" s="5" t="n">
        <f aca="false">(D3-C3)*24</f>
        <v>0.5</v>
      </c>
      <c r="F3" s="6" t="s">
        <v>13</v>
      </c>
      <c r="G3" s="3" t="s">
        <v>14</v>
      </c>
      <c r="H3" s="3" t="s">
        <v>15</v>
      </c>
      <c r="I3" s="3" t="str">
        <f aca="false">IF(A3&lt;=DATE(2027,5,9),"Week 1","Week 2")</f>
        <v>Week 1</v>
      </c>
    </row>
    <row r="4" customFormat="false" ht="15" hidden="false" customHeight="false" outlineLevel="0" collapsed="false">
      <c r="A4" s="2" t="n">
        <v>46512</v>
      </c>
      <c r="B4" s="3" t="s">
        <v>9</v>
      </c>
      <c r="C4" s="4" t="n">
        <v>0.416666666666667</v>
      </c>
      <c r="D4" s="4" t="n">
        <v>0.447916666666667</v>
      </c>
      <c r="E4" s="5" t="n">
        <f aca="false">(D4-C4)*24</f>
        <v>0.75</v>
      </c>
      <c r="F4" s="6" t="s">
        <v>16</v>
      </c>
      <c r="G4" s="3" t="s">
        <v>17</v>
      </c>
      <c r="H4" s="3" t="s">
        <v>18</v>
      </c>
      <c r="I4" s="3" t="str">
        <f aca="false">IF(A4&lt;=DATE(2027,5,9),"Week 1","Week 2")</f>
        <v>Week 1</v>
      </c>
    </row>
    <row r="5" customFormat="false" ht="15" hidden="false" customHeight="false" outlineLevel="0" collapsed="false">
      <c r="A5" s="2" t="n">
        <v>46512</v>
      </c>
      <c r="B5" s="3" t="s">
        <v>9</v>
      </c>
      <c r="C5" s="4" t="n">
        <v>0.458333333333333</v>
      </c>
      <c r="D5" s="4" t="n">
        <v>0.479166666666667</v>
      </c>
      <c r="E5" s="5" t="n">
        <f aca="false">(D5-C5)*24</f>
        <v>0.5</v>
      </c>
      <c r="F5" s="6" t="s">
        <v>19</v>
      </c>
      <c r="G5" s="3" t="s">
        <v>11</v>
      </c>
      <c r="H5" s="3" t="s">
        <v>20</v>
      </c>
      <c r="I5" s="3" t="str">
        <f aca="false">IF(A5&lt;=DATE(2027,5,9),"Week 1","Week 2")</f>
        <v>Week 1</v>
      </c>
    </row>
    <row r="6" customFormat="false" ht="15" hidden="false" customHeight="false" outlineLevel="0" collapsed="false">
      <c r="A6" s="2" t="n">
        <v>46512</v>
      </c>
      <c r="B6" s="3" t="s">
        <v>9</v>
      </c>
      <c r="C6" s="4" t="n">
        <v>0.541666666666667</v>
      </c>
      <c r="D6" s="4" t="n">
        <v>0.572916666666667</v>
      </c>
      <c r="E6" s="5" t="n">
        <f aca="false">(D6-C6)*24</f>
        <v>0.75</v>
      </c>
      <c r="F6" s="6" t="s">
        <v>21</v>
      </c>
      <c r="G6" s="3" t="s">
        <v>17</v>
      </c>
      <c r="H6" s="3" t="s">
        <v>18</v>
      </c>
      <c r="I6" s="3" t="str">
        <f aca="false">IF(A6&lt;=DATE(2027,5,9),"Week 1","Week 2")</f>
        <v>Week 1</v>
      </c>
    </row>
    <row r="7" customFormat="false" ht="15" hidden="false" customHeight="false" outlineLevel="0" collapsed="false">
      <c r="A7" s="2" t="n">
        <v>46512</v>
      </c>
      <c r="B7" s="3" t="s">
        <v>9</v>
      </c>
      <c r="C7" s="4" t="n">
        <v>0.583333333333333</v>
      </c>
      <c r="D7" s="4" t="n">
        <v>0.625</v>
      </c>
      <c r="E7" s="5" t="n">
        <f aca="false">(D7-C7)*24</f>
        <v>1</v>
      </c>
      <c r="F7" s="6" t="s">
        <v>22</v>
      </c>
      <c r="G7" s="3" t="s">
        <v>14</v>
      </c>
      <c r="H7" s="3" t="s">
        <v>15</v>
      </c>
      <c r="I7" s="3" t="str">
        <f aca="false">IF(A7&lt;=DATE(2027,5,9),"Week 1","Week 2")</f>
        <v>Week 1</v>
      </c>
    </row>
    <row r="8" customFormat="false" ht="15" hidden="false" customHeight="false" outlineLevel="0" collapsed="false">
      <c r="A8" s="2" t="n">
        <v>46512</v>
      </c>
      <c r="B8" s="3" t="s">
        <v>9</v>
      </c>
      <c r="C8" s="4" t="n">
        <v>0.625</v>
      </c>
      <c r="D8" s="4" t="n">
        <v>0.645833333333333</v>
      </c>
      <c r="E8" s="5" t="n">
        <f aca="false">(D8-C8)*24</f>
        <v>0.5</v>
      </c>
      <c r="F8" s="6" t="s">
        <v>23</v>
      </c>
      <c r="G8" s="3" t="s">
        <v>11</v>
      </c>
      <c r="H8" s="3" t="s">
        <v>24</v>
      </c>
      <c r="I8" s="3" t="str">
        <f aca="false">IF(A8&lt;=DATE(2027,5,9),"Week 1","Week 2")</f>
        <v>Week 1</v>
      </c>
    </row>
    <row r="9" customFormat="false" ht="15" hidden="false" customHeight="false" outlineLevel="0" collapsed="false">
      <c r="A9" s="2" t="n">
        <v>46512</v>
      </c>
      <c r="B9" s="3" t="s">
        <v>9</v>
      </c>
      <c r="C9" s="4" t="n">
        <v>0.666666666666667</v>
      </c>
      <c r="D9" s="4" t="n">
        <v>0.6875</v>
      </c>
      <c r="E9" s="5" t="n">
        <f aca="false">(D9-C9)*24</f>
        <v>0.5</v>
      </c>
      <c r="F9" s="6" t="s">
        <v>25</v>
      </c>
      <c r="G9" s="3" t="s">
        <v>14</v>
      </c>
      <c r="H9" s="3" t="s">
        <v>15</v>
      </c>
      <c r="I9" s="3" t="str">
        <f aca="false">IF(A9&lt;=DATE(2027,5,9),"Week 1","Week 2")</f>
        <v>Week 1</v>
      </c>
    </row>
    <row r="10" customFormat="false" ht="15" hidden="false" customHeight="false" outlineLevel="0" collapsed="false">
      <c r="A10" s="2" t="n">
        <v>46512</v>
      </c>
      <c r="B10" s="3" t="s">
        <v>9</v>
      </c>
      <c r="C10" s="4" t="n">
        <v>0.708333333333333</v>
      </c>
      <c r="D10" s="4" t="n">
        <v>0.729166666666667</v>
      </c>
      <c r="E10" s="5" t="n">
        <f aca="false">(D10-C10)*24</f>
        <v>0.5</v>
      </c>
      <c r="F10" s="6" t="s">
        <v>26</v>
      </c>
      <c r="G10" s="3" t="s">
        <v>14</v>
      </c>
      <c r="H10" s="3" t="s">
        <v>15</v>
      </c>
      <c r="I10" s="3" t="str">
        <f aca="false">IF(A10&lt;=DATE(2027,5,9),"Week 1","Week 2")</f>
        <v>Week 1</v>
      </c>
    </row>
    <row r="11" customFormat="false" ht="15" hidden="false" customHeight="false" outlineLevel="0" collapsed="false">
      <c r="A11" s="2" t="n">
        <v>46513</v>
      </c>
      <c r="B11" s="3" t="s">
        <v>27</v>
      </c>
      <c r="C11" s="4" t="n">
        <v>0.375</v>
      </c>
      <c r="D11" s="4" t="n">
        <v>0.385416666666667</v>
      </c>
      <c r="E11" s="5" t="n">
        <f aca="false">(D11-C11)*24</f>
        <v>0.25</v>
      </c>
      <c r="F11" s="6" t="s">
        <v>10</v>
      </c>
      <c r="G11" s="3" t="s">
        <v>11</v>
      </c>
      <c r="H11" s="3" t="s">
        <v>12</v>
      </c>
      <c r="I11" s="3" t="str">
        <f aca="false">IF(A11&lt;=DATE(2027,5,9),"Week 1","Week 2")</f>
        <v>Week 1</v>
      </c>
    </row>
    <row r="12" customFormat="false" ht="15" hidden="false" customHeight="false" outlineLevel="0" collapsed="false">
      <c r="A12" s="2" t="n">
        <v>46513</v>
      </c>
      <c r="B12" s="3" t="s">
        <v>27</v>
      </c>
      <c r="C12" s="4" t="n">
        <v>0.395833333333333</v>
      </c>
      <c r="D12" s="4" t="n">
        <v>0.427083333333333</v>
      </c>
      <c r="E12" s="5" t="n">
        <f aca="false">(D12-C12)*24</f>
        <v>0.75</v>
      </c>
      <c r="F12" s="6" t="s">
        <v>28</v>
      </c>
      <c r="G12" s="3" t="s">
        <v>17</v>
      </c>
      <c r="H12" s="3" t="s">
        <v>18</v>
      </c>
      <c r="I12" s="3" t="str">
        <f aca="false">IF(A12&lt;=DATE(2027,5,9),"Week 1","Week 2")</f>
        <v>Week 1</v>
      </c>
    </row>
    <row r="13" customFormat="false" ht="15" hidden="false" customHeight="false" outlineLevel="0" collapsed="false">
      <c r="A13" s="2" t="n">
        <v>46513</v>
      </c>
      <c r="B13" s="3" t="s">
        <v>27</v>
      </c>
      <c r="C13" s="4" t="n">
        <v>0.4375</v>
      </c>
      <c r="D13" s="4" t="n">
        <v>0.46875</v>
      </c>
      <c r="E13" s="5" t="n">
        <f aca="false">(D13-C13)*24</f>
        <v>0.75</v>
      </c>
      <c r="F13" s="6" t="s">
        <v>29</v>
      </c>
      <c r="G13" s="3" t="s">
        <v>17</v>
      </c>
      <c r="H13" s="3" t="s">
        <v>18</v>
      </c>
      <c r="I13" s="3" t="str">
        <f aca="false">IF(A13&lt;=DATE(2027,5,9),"Week 1","Week 2")</f>
        <v>Week 1</v>
      </c>
    </row>
    <row r="14" customFormat="false" ht="15" hidden="false" customHeight="false" outlineLevel="0" collapsed="false">
      <c r="A14" s="2" t="n">
        <v>46513</v>
      </c>
      <c r="B14" s="3" t="s">
        <v>27</v>
      </c>
      <c r="C14" s="4" t="n">
        <v>0.479166666666667</v>
      </c>
      <c r="D14" s="4" t="n">
        <v>0.5</v>
      </c>
      <c r="E14" s="5" t="n">
        <f aca="false">(D14-C14)*24</f>
        <v>0.5</v>
      </c>
      <c r="F14" s="6" t="s">
        <v>30</v>
      </c>
      <c r="G14" s="3" t="s">
        <v>14</v>
      </c>
      <c r="H14" s="3" t="s">
        <v>15</v>
      </c>
      <c r="I14" s="3" t="str">
        <f aca="false">IF(A14&lt;=DATE(2027,5,9),"Week 1","Week 2")</f>
        <v>Week 1</v>
      </c>
    </row>
    <row r="15" customFormat="false" ht="15" hidden="false" customHeight="false" outlineLevel="0" collapsed="false">
      <c r="A15" s="2" t="n">
        <v>46513</v>
      </c>
      <c r="B15" s="3" t="s">
        <v>27</v>
      </c>
      <c r="C15" s="4" t="n">
        <v>0.541666666666667</v>
      </c>
      <c r="D15" s="4" t="n">
        <v>0.5625</v>
      </c>
      <c r="E15" s="5" t="n">
        <f aca="false">(D15-C15)*24</f>
        <v>0.5</v>
      </c>
      <c r="F15" s="6" t="s">
        <v>31</v>
      </c>
      <c r="G15" s="3" t="s">
        <v>11</v>
      </c>
      <c r="H15" s="3" t="s">
        <v>32</v>
      </c>
      <c r="I15" s="3" t="str">
        <f aca="false">IF(A15&lt;=DATE(2027,5,9),"Week 1","Week 2")</f>
        <v>Week 1</v>
      </c>
    </row>
    <row r="16" customFormat="false" ht="15" hidden="false" customHeight="false" outlineLevel="0" collapsed="false">
      <c r="A16" s="2" t="n">
        <v>46513</v>
      </c>
      <c r="B16" s="3" t="s">
        <v>27</v>
      </c>
      <c r="C16" s="4" t="n">
        <v>0.583333333333333</v>
      </c>
      <c r="D16" s="4" t="n">
        <v>0.614583333333333</v>
      </c>
      <c r="E16" s="5" t="n">
        <f aca="false">(D16-C16)*24</f>
        <v>0.75</v>
      </c>
      <c r="F16" s="6" t="s">
        <v>33</v>
      </c>
      <c r="G16" s="3" t="s">
        <v>14</v>
      </c>
      <c r="H16" s="3" t="s">
        <v>15</v>
      </c>
      <c r="I16" s="3" t="str">
        <f aca="false">IF(A16&lt;=DATE(2027,5,9),"Week 1","Week 2")</f>
        <v>Week 1</v>
      </c>
    </row>
    <row r="17" customFormat="false" ht="15" hidden="false" customHeight="false" outlineLevel="0" collapsed="false">
      <c r="A17" s="2" t="n">
        <v>46513</v>
      </c>
      <c r="B17" s="3" t="s">
        <v>27</v>
      </c>
      <c r="C17" s="4" t="n">
        <v>0.625</v>
      </c>
      <c r="D17" s="4" t="n">
        <v>0.65625</v>
      </c>
      <c r="E17" s="5" t="n">
        <f aca="false">(D17-C17)*24</f>
        <v>0.75</v>
      </c>
      <c r="F17" s="6" t="s">
        <v>34</v>
      </c>
      <c r="G17" s="3" t="s">
        <v>14</v>
      </c>
      <c r="H17" s="3" t="s">
        <v>15</v>
      </c>
      <c r="I17" s="3" t="str">
        <f aca="false">IF(A17&lt;=DATE(2027,5,9),"Week 1","Week 2")</f>
        <v>Week 1</v>
      </c>
    </row>
    <row r="18" customFormat="false" ht="15" hidden="false" customHeight="false" outlineLevel="0" collapsed="false">
      <c r="A18" s="2" t="n">
        <v>46513</v>
      </c>
      <c r="B18" s="3" t="s">
        <v>27</v>
      </c>
      <c r="C18" s="4" t="n">
        <v>0.666666666666667</v>
      </c>
      <c r="D18" s="4" t="n">
        <v>0.6875</v>
      </c>
      <c r="E18" s="5" t="n">
        <f aca="false">(D18-C18)*24</f>
        <v>0.5</v>
      </c>
      <c r="F18" s="6" t="s">
        <v>35</v>
      </c>
      <c r="G18" s="3" t="s">
        <v>11</v>
      </c>
      <c r="H18" s="3" t="s">
        <v>36</v>
      </c>
      <c r="I18" s="3" t="str">
        <f aca="false">IF(A18&lt;=DATE(2027,5,9),"Week 1","Week 2")</f>
        <v>Week 1</v>
      </c>
    </row>
    <row r="19" customFormat="false" ht="15" hidden="false" customHeight="false" outlineLevel="0" collapsed="false">
      <c r="A19" s="2" t="n">
        <v>46513</v>
      </c>
      <c r="B19" s="3" t="s">
        <v>27</v>
      </c>
      <c r="C19" s="4" t="n">
        <v>0.697916666666667</v>
      </c>
      <c r="D19" s="4" t="n">
        <v>0.71875</v>
      </c>
      <c r="E19" s="5" t="n">
        <f aca="false">(D19-C19)*24</f>
        <v>0.5</v>
      </c>
      <c r="F19" s="6" t="s">
        <v>37</v>
      </c>
      <c r="G19" s="3" t="s">
        <v>14</v>
      </c>
      <c r="H19" s="3" t="s">
        <v>15</v>
      </c>
      <c r="I19" s="3" t="str">
        <f aca="false">IF(A19&lt;=DATE(2027,5,9),"Week 1","Week 2")</f>
        <v>Week 1</v>
      </c>
    </row>
    <row r="20" customFormat="false" ht="15" hidden="false" customHeight="false" outlineLevel="0" collapsed="false">
      <c r="A20" s="2" t="n">
        <v>46514</v>
      </c>
      <c r="B20" s="3" t="s">
        <v>38</v>
      </c>
      <c r="C20" s="4" t="n">
        <v>0.375</v>
      </c>
      <c r="D20" s="4" t="n">
        <v>0.385416666666667</v>
      </c>
      <c r="E20" s="5" t="n">
        <f aca="false">(D20-C20)*24</f>
        <v>0.25</v>
      </c>
      <c r="F20" s="6" t="s">
        <v>10</v>
      </c>
      <c r="G20" s="3" t="s">
        <v>11</v>
      </c>
      <c r="H20" s="3" t="s">
        <v>12</v>
      </c>
      <c r="I20" s="3" t="str">
        <f aca="false">IF(A20&lt;=DATE(2027,5,9),"Week 1","Week 2")</f>
        <v>Week 1</v>
      </c>
    </row>
    <row r="21" customFormat="false" ht="15" hidden="false" customHeight="false" outlineLevel="0" collapsed="false">
      <c r="A21" s="2" t="n">
        <v>46514</v>
      </c>
      <c r="B21" s="3" t="s">
        <v>38</v>
      </c>
      <c r="C21" s="4" t="n">
        <v>0.395833333333333</v>
      </c>
      <c r="D21" s="4" t="n">
        <v>0.427083333333333</v>
      </c>
      <c r="E21" s="5" t="n">
        <f aca="false">(D21-C21)*24</f>
        <v>0.75</v>
      </c>
      <c r="F21" s="6" t="s">
        <v>39</v>
      </c>
      <c r="G21" s="3" t="s">
        <v>17</v>
      </c>
      <c r="H21" s="3" t="s">
        <v>18</v>
      </c>
      <c r="I21" s="3" t="str">
        <f aca="false">IF(A21&lt;=DATE(2027,5,9),"Week 1","Week 2")</f>
        <v>Week 1</v>
      </c>
    </row>
    <row r="22" customFormat="false" ht="15" hidden="false" customHeight="false" outlineLevel="0" collapsed="false">
      <c r="A22" s="2" t="n">
        <v>46514</v>
      </c>
      <c r="B22" s="3" t="s">
        <v>38</v>
      </c>
      <c r="C22" s="4" t="n">
        <v>0.4375</v>
      </c>
      <c r="D22" s="4" t="n">
        <v>0.46875</v>
      </c>
      <c r="E22" s="5" t="n">
        <f aca="false">(D22-C22)*24</f>
        <v>0.75</v>
      </c>
      <c r="F22" s="6" t="s">
        <v>40</v>
      </c>
      <c r="G22" s="3" t="s">
        <v>17</v>
      </c>
      <c r="H22" s="3" t="s">
        <v>18</v>
      </c>
      <c r="I22" s="3" t="str">
        <f aca="false">IF(A22&lt;=DATE(2027,5,9),"Week 1","Week 2")</f>
        <v>Week 1</v>
      </c>
    </row>
    <row r="23" customFormat="false" ht="15" hidden="false" customHeight="false" outlineLevel="0" collapsed="false">
      <c r="A23" s="2" t="n">
        <v>46514</v>
      </c>
      <c r="B23" s="3" t="s">
        <v>38</v>
      </c>
      <c r="C23" s="4" t="n">
        <v>0.479166666666667</v>
      </c>
      <c r="D23" s="4" t="n">
        <v>0.5</v>
      </c>
      <c r="E23" s="5" t="n">
        <f aca="false">(D23-C23)*24</f>
        <v>0.5</v>
      </c>
      <c r="F23" s="6" t="s">
        <v>41</v>
      </c>
      <c r="G23" s="3" t="s">
        <v>14</v>
      </c>
      <c r="H23" s="3" t="s">
        <v>15</v>
      </c>
      <c r="I23" s="3" t="str">
        <f aca="false">IF(A23&lt;=DATE(2027,5,9),"Week 1","Week 2")</f>
        <v>Week 1</v>
      </c>
    </row>
    <row r="24" customFormat="false" ht="15" hidden="false" customHeight="false" outlineLevel="0" collapsed="false">
      <c r="A24" s="2" t="n">
        <v>46514</v>
      </c>
      <c r="B24" s="3" t="s">
        <v>38</v>
      </c>
      <c r="C24" s="4" t="n">
        <v>0.541666666666667</v>
      </c>
      <c r="D24" s="4" t="n">
        <v>0.572916666666667</v>
      </c>
      <c r="E24" s="5" t="n">
        <f aca="false">(D24-C24)*24</f>
        <v>0.75</v>
      </c>
      <c r="F24" s="6" t="s">
        <v>42</v>
      </c>
      <c r="G24" s="3" t="s">
        <v>11</v>
      </c>
      <c r="H24" s="3" t="s">
        <v>15</v>
      </c>
      <c r="I24" s="3" t="str">
        <f aca="false">IF(A24&lt;=DATE(2027,5,9),"Week 1","Week 2")</f>
        <v>Week 1</v>
      </c>
    </row>
    <row r="25" customFormat="false" ht="15" hidden="false" customHeight="false" outlineLevel="0" collapsed="false">
      <c r="A25" s="2" t="n">
        <v>46514</v>
      </c>
      <c r="B25" s="3" t="s">
        <v>38</v>
      </c>
      <c r="C25" s="4" t="n">
        <v>0.583333333333333</v>
      </c>
      <c r="D25" s="4" t="n">
        <v>0.604166666666667</v>
      </c>
      <c r="E25" s="5" t="n">
        <f aca="false">(D25-C25)*24</f>
        <v>0.5</v>
      </c>
      <c r="F25" s="6" t="s">
        <v>43</v>
      </c>
      <c r="G25" s="3" t="s">
        <v>11</v>
      </c>
      <c r="H25" s="3" t="s">
        <v>20</v>
      </c>
      <c r="I25" s="3" t="str">
        <f aca="false">IF(A25&lt;=DATE(2027,5,9),"Week 1","Week 2")</f>
        <v>Week 1</v>
      </c>
    </row>
    <row r="26" customFormat="false" ht="15" hidden="false" customHeight="false" outlineLevel="0" collapsed="false">
      <c r="A26" s="2" t="n">
        <v>46514</v>
      </c>
      <c r="B26" s="3" t="s">
        <v>38</v>
      </c>
      <c r="C26" s="4" t="n">
        <v>0.614583333333333</v>
      </c>
      <c r="D26" s="4" t="n">
        <v>0.645833333333333</v>
      </c>
      <c r="E26" s="5" t="n">
        <f aca="false">(D26-C26)*24</f>
        <v>0.75</v>
      </c>
      <c r="F26" s="6" t="s">
        <v>44</v>
      </c>
      <c r="G26" s="3" t="s">
        <v>14</v>
      </c>
      <c r="H26" s="3" t="s">
        <v>15</v>
      </c>
      <c r="I26" s="3" t="str">
        <f aca="false">IF(A26&lt;=DATE(2027,5,9),"Week 1","Week 2")</f>
        <v>Week 1</v>
      </c>
    </row>
    <row r="27" customFormat="false" ht="15" hidden="false" customHeight="false" outlineLevel="0" collapsed="false">
      <c r="A27" s="2" t="n">
        <v>46514</v>
      </c>
      <c r="B27" s="3" t="s">
        <v>38</v>
      </c>
      <c r="C27" s="4" t="n">
        <v>0.645833333333333</v>
      </c>
      <c r="D27" s="4" t="n">
        <v>0.677083333333333</v>
      </c>
      <c r="E27" s="5" t="n">
        <f aca="false">(D27-C27)*24</f>
        <v>0.75</v>
      </c>
      <c r="F27" s="6" t="s">
        <v>45</v>
      </c>
      <c r="G27" s="3" t="s">
        <v>14</v>
      </c>
      <c r="H27" s="3" t="s">
        <v>15</v>
      </c>
      <c r="I27" s="3" t="str">
        <f aca="false">IF(A27&lt;=DATE(2027,5,9),"Week 1","Week 2")</f>
        <v>Week 1</v>
      </c>
    </row>
    <row r="28" customFormat="false" ht="15" hidden="false" customHeight="false" outlineLevel="0" collapsed="false">
      <c r="A28" s="2" t="n">
        <v>46514</v>
      </c>
      <c r="B28" s="3" t="s">
        <v>38</v>
      </c>
      <c r="C28" s="4" t="n">
        <v>0.6875</v>
      </c>
      <c r="D28" s="4" t="n">
        <v>0.71875</v>
      </c>
      <c r="E28" s="5" t="n">
        <f aca="false">(D28-C28)*24</f>
        <v>0.75</v>
      </c>
      <c r="F28" s="6" t="s">
        <v>46</v>
      </c>
      <c r="G28" s="3" t="s">
        <v>11</v>
      </c>
      <c r="H28" s="3" t="s">
        <v>47</v>
      </c>
      <c r="I28" s="3" t="str">
        <f aca="false">IF(A28&lt;=DATE(2027,5,9),"Week 1","Week 2")</f>
        <v>Week 1</v>
      </c>
    </row>
    <row r="29" customFormat="false" ht="15" hidden="false" customHeight="false" outlineLevel="0" collapsed="false">
      <c r="A29" s="2" t="n">
        <v>46517</v>
      </c>
      <c r="B29" s="3" t="s">
        <v>48</v>
      </c>
      <c r="C29" s="4" t="n">
        <v>0.375</v>
      </c>
      <c r="D29" s="4" t="n">
        <v>0.385416666666667</v>
      </c>
      <c r="E29" s="5" t="n">
        <f aca="false">(D29-C29)*24</f>
        <v>0.25</v>
      </c>
      <c r="F29" s="6" t="s">
        <v>10</v>
      </c>
      <c r="G29" s="3" t="s">
        <v>11</v>
      </c>
      <c r="H29" s="3" t="s">
        <v>12</v>
      </c>
      <c r="I29" s="3" t="str">
        <f aca="false">IF(A29&lt;=DATE(2027,5,9),"Week 1","Week 2")</f>
        <v>Week 2</v>
      </c>
    </row>
    <row r="30" customFormat="false" ht="15" hidden="false" customHeight="false" outlineLevel="0" collapsed="false">
      <c r="A30" s="2" t="n">
        <v>46517</v>
      </c>
      <c r="B30" s="3" t="s">
        <v>48</v>
      </c>
      <c r="C30" s="4" t="n">
        <v>0.395833333333333</v>
      </c>
      <c r="D30" s="4" t="n">
        <v>0.416666666666667</v>
      </c>
      <c r="E30" s="5" t="n">
        <f aca="false">(D30-C30)*24</f>
        <v>0.5</v>
      </c>
      <c r="F30" s="6" t="s">
        <v>49</v>
      </c>
      <c r="G30" s="3" t="s">
        <v>14</v>
      </c>
      <c r="H30" s="3" t="s">
        <v>15</v>
      </c>
      <c r="I30" s="3" t="str">
        <f aca="false">IF(A30&lt;=DATE(2027,5,9),"Week 1","Week 2")</f>
        <v>Week 2</v>
      </c>
    </row>
    <row r="31" customFormat="false" ht="15" hidden="false" customHeight="false" outlineLevel="0" collapsed="false">
      <c r="A31" s="2" t="n">
        <v>46517</v>
      </c>
      <c r="B31" s="3" t="s">
        <v>48</v>
      </c>
      <c r="C31" s="4" t="n">
        <v>0.416666666666667</v>
      </c>
      <c r="D31" s="4" t="n">
        <v>0.447916666666667</v>
      </c>
      <c r="E31" s="5" t="n">
        <f aca="false">(D31-C31)*24</f>
        <v>0.75</v>
      </c>
      <c r="F31" s="6" t="s">
        <v>50</v>
      </c>
      <c r="G31" s="3" t="s">
        <v>17</v>
      </c>
      <c r="H31" s="3" t="s">
        <v>18</v>
      </c>
      <c r="I31" s="3" t="str">
        <f aca="false">IF(A31&lt;=DATE(2027,5,9),"Week 1","Week 2")</f>
        <v>Week 2</v>
      </c>
    </row>
    <row r="32" customFormat="false" ht="15" hidden="false" customHeight="false" outlineLevel="0" collapsed="false">
      <c r="A32" s="2" t="n">
        <v>46517</v>
      </c>
      <c r="B32" s="3" t="s">
        <v>48</v>
      </c>
      <c r="C32" s="4" t="n">
        <v>0.458333333333333</v>
      </c>
      <c r="D32" s="4" t="n">
        <v>0.489583333333333</v>
      </c>
      <c r="E32" s="5" t="n">
        <f aca="false">(D32-C32)*24</f>
        <v>0.75</v>
      </c>
      <c r="F32" s="6" t="s">
        <v>51</v>
      </c>
      <c r="G32" s="3" t="s">
        <v>17</v>
      </c>
      <c r="H32" s="3" t="s">
        <v>18</v>
      </c>
      <c r="I32" s="3" t="str">
        <f aca="false">IF(A32&lt;=DATE(2027,5,9),"Week 1","Week 2")</f>
        <v>Week 2</v>
      </c>
    </row>
    <row r="33" customFormat="false" ht="15" hidden="false" customHeight="false" outlineLevel="0" collapsed="false">
      <c r="A33" s="2" t="n">
        <v>46517</v>
      </c>
      <c r="B33" s="3" t="s">
        <v>48</v>
      </c>
      <c r="C33" s="4" t="n">
        <v>0.541666666666667</v>
      </c>
      <c r="D33" s="4" t="n">
        <v>0.5625</v>
      </c>
      <c r="E33" s="5" t="n">
        <f aca="false">(D33-C33)*24</f>
        <v>0.5</v>
      </c>
      <c r="F33" s="6" t="s">
        <v>52</v>
      </c>
      <c r="G33" s="3" t="s">
        <v>11</v>
      </c>
      <c r="H33" s="3" t="s">
        <v>20</v>
      </c>
      <c r="I33" s="3" t="str">
        <f aca="false">IF(A33&lt;=DATE(2027,5,9),"Week 1","Week 2")</f>
        <v>Week 2</v>
      </c>
    </row>
    <row r="34" customFormat="false" ht="15" hidden="false" customHeight="false" outlineLevel="0" collapsed="false">
      <c r="A34" s="2" t="n">
        <v>46517</v>
      </c>
      <c r="B34" s="3" t="s">
        <v>48</v>
      </c>
      <c r="C34" s="4" t="n">
        <v>0.572916666666667</v>
      </c>
      <c r="D34" s="4" t="n">
        <v>0.604166666666667</v>
      </c>
      <c r="E34" s="5" t="n">
        <f aca="false">(D34-C34)*24</f>
        <v>0.75</v>
      </c>
      <c r="F34" s="6" t="s">
        <v>22</v>
      </c>
      <c r="G34" s="3" t="s">
        <v>14</v>
      </c>
      <c r="H34" s="3" t="s">
        <v>15</v>
      </c>
      <c r="I34" s="3" t="str">
        <f aca="false">IF(A34&lt;=DATE(2027,5,9),"Week 1","Week 2")</f>
        <v>Week 2</v>
      </c>
    </row>
    <row r="35" customFormat="false" ht="15" hidden="false" customHeight="false" outlineLevel="0" collapsed="false">
      <c r="A35" s="2" t="n">
        <v>46517</v>
      </c>
      <c r="B35" s="3" t="s">
        <v>48</v>
      </c>
      <c r="C35" s="4" t="n">
        <v>0.604166666666667</v>
      </c>
      <c r="D35" s="4" t="n">
        <v>0.635416666666667</v>
      </c>
      <c r="E35" s="5" t="n">
        <f aca="false">(D35-C35)*24</f>
        <v>0.75</v>
      </c>
      <c r="F35" s="6" t="s">
        <v>53</v>
      </c>
      <c r="G35" s="3" t="s">
        <v>14</v>
      </c>
      <c r="H35" s="3" t="s">
        <v>15</v>
      </c>
      <c r="I35" s="3" t="str">
        <f aca="false">IF(A35&lt;=DATE(2027,5,9),"Week 1","Week 2")</f>
        <v>Week 2</v>
      </c>
    </row>
    <row r="36" customFormat="false" ht="15" hidden="false" customHeight="false" outlineLevel="0" collapsed="false">
      <c r="A36" s="2" t="n">
        <v>46517</v>
      </c>
      <c r="B36" s="3" t="s">
        <v>48</v>
      </c>
      <c r="C36" s="4" t="n">
        <v>0.645833333333333</v>
      </c>
      <c r="D36" s="4" t="n">
        <v>0.666666666666667</v>
      </c>
      <c r="E36" s="5" t="n">
        <f aca="false">(D36-C36)*24</f>
        <v>0.5</v>
      </c>
      <c r="F36" s="6" t="s">
        <v>23</v>
      </c>
      <c r="G36" s="3" t="s">
        <v>11</v>
      </c>
      <c r="H36" s="3" t="s">
        <v>24</v>
      </c>
      <c r="I36" s="3" t="str">
        <f aca="false">IF(A36&lt;=DATE(2027,5,9),"Week 1","Week 2")</f>
        <v>Week 2</v>
      </c>
    </row>
    <row r="37" customFormat="false" ht="15" hidden="false" customHeight="false" outlineLevel="0" collapsed="false">
      <c r="A37" s="2" t="n">
        <v>46517</v>
      </c>
      <c r="B37" s="3" t="s">
        <v>48</v>
      </c>
      <c r="C37" s="4" t="n">
        <v>0.677083333333333</v>
      </c>
      <c r="D37" s="4" t="n">
        <v>0.697916666666667</v>
      </c>
      <c r="E37" s="5" t="n">
        <f aca="false">(D37-C37)*24</f>
        <v>0.5</v>
      </c>
      <c r="F37" s="6" t="s">
        <v>26</v>
      </c>
      <c r="G37" s="3" t="s">
        <v>14</v>
      </c>
      <c r="H37" s="3" t="s">
        <v>15</v>
      </c>
      <c r="I37" s="3" t="str">
        <f aca="false">IF(A37&lt;=DATE(2027,5,9),"Week 1","Week 2")</f>
        <v>Week 2</v>
      </c>
    </row>
    <row r="38" customFormat="false" ht="15" hidden="false" customHeight="false" outlineLevel="0" collapsed="false">
      <c r="A38" s="2" t="n">
        <v>46518</v>
      </c>
      <c r="B38" s="3" t="s">
        <v>54</v>
      </c>
      <c r="C38" s="4" t="n">
        <v>0.375</v>
      </c>
      <c r="D38" s="4" t="n">
        <v>0.385416666666667</v>
      </c>
      <c r="E38" s="5" t="n">
        <f aca="false">(D38-C38)*24</f>
        <v>0.25</v>
      </c>
      <c r="F38" s="6" t="s">
        <v>10</v>
      </c>
      <c r="G38" s="3" t="s">
        <v>11</v>
      </c>
      <c r="H38" s="3" t="s">
        <v>12</v>
      </c>
      <c r="I38" s="3" t="str">
        <f aca="false">IF(A38&lt;=DATE(2027,5,9),"Week 1","Week 2")</f>
        <v>Week 2</v>
      </c>
    </row>
    <row r="39" customFormat="false" ht="15" hidden="false" customHeight="false" outlineLevel="0" collapsed="false">
      <c r="A39" s="2" t="n">
        <v>46518</v>
      </c>
      <c r="B39" s="3" t="s">
        <v>54</v>
      </c>
      <c r="C39" s="4" t="n">
        <v>0.395833333333333</v>
      </c>
      <c r="D39" s="4" t="n">
        <v>0.427083333333333</v>
      </c>
      <c r="E39" s="5" t="n">
        <f aca="false">(D39-C39)*24</f>
        <v>0.75</v>
      </c>
      <c r="F39" s="6" t="s">
        <v>55</v>
      </c>
      <c r="G39" s="3" t="s">
        <v>17</v>
      </c>
      <c r="H39" s="3" t="s">
        <v>18</v>
      </c>
      <c r="I39" s="3" t="str">
        <f aca="false">IF(A39&lt;=DATE(2027,5,9),"Week 1","Week 2")</f>
        <v>Week 2</v>
      </c>
    </row>
    <row r="40" customFormat="false" ht="15" hidden="false" customHeight="false" outlineLevel="0" collapsed="false">
      <c r="A40" s="2" t="n">
        <v>46518</v>
      </c>
      <c r="B40" s="3" t="s">
        <v>54</v>
      </c>
      <c r="C40" s="4" t="n">
        <v>0.4375</v>
      </c>
      <c r="D40" s="4" t="n">
        <v>0.479166666666667</v>
      </c>
      <c r="E40" s="5" t="n">
        <f aca="false">(D40-C40)*24</f>
        <v>1</v>
      </c>
      <c r="F40" s="6" t="s">
        <v>56</v>
      </c>
      <c r="G40" s="3" t="s">
        <v>17</v>
      </c>
      <c r="H40" s="3" t="s">
        <v>18</v>
      </c>
      <c r="I40" s="3" t="str">
        <f aca="false">IF(A40&lt;=DATE(2027,5,9),"Week 1","Week 2")</f>
        <v>Week 2</v>
      </c>
    </row>
    <row r="41" customFormat="false" ht="15" hidden="false" customHeight="false" outlineLevel="0" collapsed="false">
      <c r="A41" s="2" t="n">
        <v>46518</v>
      </c>
      <c r="B41" s="3" t="s">
        <v>54</v>
      </c>
      <c r="C41" s="4" t="n">
        <v>0.489583333333333</v>
      </c>
      <c r="D41" s="4" t="n">
        <v>0.510416666666667</v>
      </c>
      <c r="E41" s="5" t="n">
        <f aca="false">(D41-C41)*24</f>
        <v>0.5</v>
      </c>
      <c r="F41" s="6" t="s">
        <v>57</v>
      </c>
      <c r="G41" s="3" t="s">
        <v>14</v>
      </c>
      <c r="H41" s="3" t="s">
        <v>15</v>
      </c>
      <c r="I41" s="3" t="str">
        <f aca="false">IF(A41&lt;=DATE(2027,5,9),"Week 1","Week 2")</f>
        <v>Week 2</v>
      </c>
    </row>
    <row r="42" customFormat="false" ht="15" hidden="false" customHeight="false" outlineLevel="0" collapsed="false">
      <c r="A42" s="2" t="n">
        <v>46518</v>
      </c>
      <c r="B42" s="3" t="s">
        <v>54</v>
      </c>
      <c r="C42" s="4" t="n">
        <v>0.541666666666667</v>
      </c>
      <c r="D42" s="4" t="n">
        <v>0.572916666666667</v>
      </c>
      <c r="E42" s="5" t="n">
        <f aca="false">(D42-C42)*24</f>
        <v>0.75</v>
      </c>
      <c r="F42" s="6" t="s">
        <v>58</v>
      </c>
      <c r="G42" s="3" t="s">
        <v>14</v>
      </c>
      <c r="H42" s="3" t="s">
        <v>15</v>
      </c>
      <c r="I42" s="3" t="str">
        <f aca="false">IF(A42&lt;=DATE(2027,5,9),"Week 1","Week 2")</f>
        <v>Week 2</v>
      </c>
    </row>
    <row r="43" customFormat="false" ht="15" hidden="false" customHeight="false" outlineLevel="0" collapsed="false">
      <c r="A43" s="2" t="n">
        <v>46518</v>
      </c>
      <c r="B43" s="3" t="s">
        <v>54</v>
      </c>
      <c r="C43" s="4" t="n">
        <v>0.583333333333333</v>
      </c>
      <c r="D43" s="4" t="n">
        <v>0.604166666666667</v>
      </c>
      <c r="E43" s="5" t="n">
        <f aca="false">(D43-C43)*24</f>
        <v>0.5</v>
      </c>
      <c r="F43" s="6" t="s">
        <v>59</v>
      </c>
      <c r="G43" s="3" t="s">
        <v>11</v>
      </c>
      <c r="H43" s="3" t="s">
        <v>32</v>
      </c>
      <c r="I43" s="3" t="str">
        <f aca="false">IF(A43&lt;=DATE(2027,5,9),"Week 1","Week 2")</f>
        <v>Week 2</v>
      </c>
    </row>
    <row r="44" customFormat="false" ht="15" hidden="false" customHeight="false" outlineLevel="0" collapsed="false">
      <c r="A44" s="2" t="n">
        <v>46518</v>
      </c>
      <c r="B44" s="3" t="s">
        <v>54</v>
      </c>
      <c r="C44" s="4" t="n">
        <v>0.614583333333333</v>
      </c>
      <c r="D44" s="4" t="n">
        <v>0.645833333333333</v>
      </c>
      <c r="E44" s="5" t="n">
        <f aca="false">(D44-C44)*24</f>
        <v>0.75</v>
      </c>
      <c r="F44" s="6" t="s">
        <v>35</v>
      </c>
      <c r="G44" s="3" t="s">
        <v>11</v>
      </c>
      <c r="H44" s="3" t="s">
        <v>36</v>
      </c>
      <c r="I44" s="3" t="str">
        <f aca="false">IF(A44&lt;=DATE(2027,5,9),"Week 1","Week 2")</f>
        <v>Week 2</v>
      </c>
    </row>
    <row r="45" customFormat="false" ht="15" hidden="false" customHeight="false" outlineLevel="0" collapsed="false">
      <c r="A45" s="2" t="n">
        <v>46518</v>
      </c>
      <c r="B45" s="3" t="s">
        <v>54</v>
      </c>
      <c r="C45" s="4" t="n">
        <v>0.65625</v>
      </c>
      <c r="D45" s="4" t="n">
        <v>0.677083333333333</v>
      </c>
      <c r="E45" s="5" t="n">
        <f aca="false">(D45-C45)*24</f>
        <v>0.5</v>
      </c>
      <c r="F45" s="6" t="s">
        <v>60</v>
      </c>
      <c r="G45" s="3" t="s">
        <v>14</v>
      </c>
      <c r="H45" s="3" t="s">
        <v>15</v>
      </c>
      <c r="I45" s="3" t="str">
        <f aca="false">IF(A45&lt;=DATE(2027,5,9),"Week 1","Week 2")</f>
        <v>Week 2</v>
      </c>
    </row>
    <row r="46" customFormat="false" ht="15" hidden="false" customHeight="false" outlineLevel="0" collapsed="false">
      <c r="A46" s="2" t="n">
        <v>46518</v>
      </c>
      <c r="B46" s="3" t="s">
        <v>54</v>
      </c>
      <c r="C46" s="4" t="n">
        <v>0.6875</v>
      </c>
      <c r="D46" s="4" t="n">
        <v>0.708333333333333</v>
      </c>
      <c r="E46" s="5" t="n">
        <f aca="false">(D46-C46)*24</f>
        <v>0.5</v>
      </c>
      <c r="F46" s="6" t="s">
        <v>37</v>
      </c>
      <c r="G46" s="3" t="s">
        <v>14</v>
      </c>
      <c r="H46" s="3" t="s">
        <v>15</v>
      </c>
      <c r="I46" s="3" t="str">
        <f aca="false">IF(A46&lt;=DATE(2027,5,9),"Week 1","Week 2")</f>
        <v>Week 2</v>
      </c>
    </row>
    <row r="47" customFormat="false" ht="15" hidden="false" customHeight="false" outlineLevel="0" collapsed="false">
      <c r="A47" s="2" t="n">
        <v>46519</v>
      </c>
      <c r="B47" s="3" t="s">
        <v>9</v>
      </c>
      <c r="C47" s="4" t="n">
        <v>0.375</v>
      </c>
      <c r="D47" s="4" t="n">
        <v>0.385416666666667</v>
      </c>
      <c r="E47" s="5" t="n">
        <f aca="false">(D47-C47)*24</f>
        <v>0.25</v>
      </c>
      <c r="F47" s="6" t="s">
        <v>10</v>
      </c>
      <c r="G47" s="3" t="s">
        <v>11</v>
      </c>
      <c r="H47" s="3" t="s">
        <v>12</v>
      </c>
      <c r="I47" s="3" t="str">
        <f aca="false">IF(A47&lt;=DATE(2027,5,9),"Week 1","Week 2")</f>
        <v>Week 2</v>
      </c>
    </row>
    <row r="48" customFormat="false" ht="15" hidden="false" customHeight="false" outlineLevel="0" collapsed="false">
      <c r="A48" s="2" t="n">
        <v>46519</v>
      </c>
      <c r="B48" s="3" t="s">
        <v>9</v>
      </c>
      <c r="C48" s="4" t="n">
        <v>0.395833333333333</v>
      </c>
      <c r="D48" s="4" t="n">
        <v>0.427083333333333</v>
      </c>
      <c r="E48" s="5" t="n">
        <f aca="false">(D48-C48)*24</f>
        <v>0.75</v>
      </c>
      <c r="F48" s="6" t="s">
        <v>61</v>
      </c>
      <c r="G48" s="3" t="s">
        <v>17</v>
      </c>
      <c r="H48" s="3" t="s">
        <v>18</v>
      </c>
      <c r="I48" s="3" t="str">
        <f aca="false">IF(A48&lt;=DATE(2027,5,9),"Week 1","Week 2")</f>
        <v>Week 2</v>
      </c>
    </row>
    <row r="49" customFormat="false" ht="15" hidden="false" customHeight="false" outlineLevel="0" collapsed="false">
      <c r="A49" s="2" t="n">
        <v>46519</v>
      </c>
      <c r="B49" s="3" t="s">
        <v>9</v>
      </c>
      <c r="C49" s="4" t="n">
        <v>0.4375</v>
      </c>
      <c r="D49" s="4" t="n">
        <v>0.46875</v>
      </c>
      <c r="E49" s="5" t="n">
        <f aca="false">(D49-C49)*24</f>
        <v>0.75</v>
      </c>
      <c r="F49" s="6" t="s">
        <v>62</v>
      </c>
      <c r="G49" s="3" t="s">
        <v>17</v>
      </c>
      <c r="H49" s="3" t="s">
        <v>18</v>
      </c>
      <c r="I49" s="3" t="str">
        <f aca="false">IF(A49&lt;=DATE(2027,5,9),"Week 1","Week 2")</f>
        <v>Week 2</v>
      </c>
    </row>
    <row r="50" customFormat="false" ht="15" hidden="false" customHeight="false" outlineLevel="0" collapsed="false">
      <c r="A50" s="2" t="n">
        <v>46519</v>
      </c>
      <c r="B50" s="3" t="s">
        <v>9</v>
      </c>
      <c r="C50" s="4" t="n">
        <v>0.479166666666667</v>
      </c>
      <c r="D50" s="4" t="n">
        <v>0.5</v>
      </c>
      <c r="E50" s="5" t="n">
        <f aca="false">(D50-C50)*24</f>
        <v>0.5</v>
      </c>
      <c r="F50" s="6" t="s">
        <v>63</v>
      </c>
      <c r="G50" s="3" t="s">
        <v>14</v>
      </c>
      <c r="H50" s="3" t="s">
        <v>15</v>
      </c>
      <c r="I50" s="3" t="str">
        <f aca="false">IF(A50&lt;=DATE(2027,5,9),"Week 1","Week 2")</f>
        <v>Week 2</v>
      </c>
    </row>
    <row r="51" customFormat="false" ht="15" hidden="false" customHeight="false" outlineLevel="0" collapsed="false">
      <c r="A51" s="2" t="n">
        <v>46519</v>
      </c>
      <c r="B51" s="3" t="s">
        <v>9</v>
      </c>
      <c r="C51" s="4" t="n">
        <v>0.541666666666667</v>
      </c>
      <c r="D51" s="4" t="n">
        <v>0.5625</v>
      </c>
      <c r="E51" s="5" t="n">
        <f aca="false">(D51-C51)*24</f>
        <v>0.5</v>
      </c>
      <c r="F51" s="6" t="s">
        <v>64</v>
      </c>
      <c r="G51" s="3" t="s">
        <v>11</v>
      </c>
      <c r="H51" s="3" t="s">
        <v>20</v>
      </c>
      <c r="I51" s="3" t="str">
        <f aca="false">IF(A51&lt;=DATE(2027,5,9),"Week 1","Week 2")</f>
        <v>Week 2</v>
      </c>
    </row>
    <row r="52" customFormat="false" ht="15" hidden="false" customHeight="false" outlineLevel="0" collapsed="false">
      <c r="A52" s="2" t="n">
        <v>46519</v>
      </c>
      <c r="B52" s="3" t="s">
        <v>9</v>
      </c>
      <c r="C52" s="4" t="n">
        <v>0.572916666666667</v>
      </c>
      <c r="D52" s="4" t="n">
        <v>0.604166666666667</v>
      </c>
      <c r="E52" s="5" t="n">
        <f aca="false">(D52-C52)*24</f>
        <v>0.75</v>
      </c>
      <c r="F52" s="6" t="s">
        <v>65</v>
      </c>
      <c r="G52" s="3" t="s">
        <v>14</v>
      </c>
      <c r="H52" s="3" t="s">
        <v>15</v>
      </c>
      <c r="I52" s="3" t="str">
        <f aca="false">IF(A52&lt;=DATE(2027,5,9),"Week 1","Week 2")</f>
        <v>Week 2</v>
      </c>
    </row>
    <row r="53" customFormat="false" ht="15" hidden="false" customHeight="false" outlineLevel="0" collapsed="false">
      <c r="A53" s="2" t="n">
        <v>46519</v>
      </c>
      <c r="B53" s="3" t="s">
        <v>9</v>
      </c>
      <c r="C53" s="4" t="n">
        <v>0.604166666666667</v>
      </c>
      <c r="D53" s="4" t="n">
        <v>0.625</v>
      </c>
      <c r="E53" s="5" t="n">
        <f aca="false">(D53-C53)*24</f>
        <v>0.5</v>
      </c>
      <c r="F53" s="6" t="s">
        <v>66</v>
      </c>
      <c r="G53" s="3" t="s">
        <v>11</v>
      </c>
      <c r="H53" s="3" t="s">
        <v>32</v>
      </c>
      <c r="I53" s="3" t="str">
        <f aca="false">IF(A53&lt;=DATE(2027,5,9),"Week 1","Week 2")</f>
        <v>Week 2</v>
      </c>
    </row>
    <row r="54" customFormat="false" ht="15" hidden="false" customHeight="false" outlineLevel="0" collapsed="false">
      <c r="A54" s="2" t="n">
        <v>46519</v>
      </c>
      <c r="B54" s="3" t="s">
        <v>9</v>
      </c>
      <c r="C54" s="4" t="n">
        <v>0.635416666666667</v>
      </c>
      <c r="D54" s="4" t="n">
        <v>0.65625</v>
      </c>
      <c r="E54" s="5" t="n">
        <f aca="false">(D54-C54)*24</f>
        <v>0.5</v>
      </c>
      <c r="F54" s="6" t="s">
        <v>67</v>
      </c>
      <c r="G54" s="3" t="s">
        <v>14</v>
      </c>
      <c r="H54" s="3" t="s">
        <v>15</v>
      </c>
      <c r="I54" s="3" t="str">
        <f aca="false">IF(A54&lt;=DATE(2027,5,9),"Week 1","Week 2")</f>
        <v>Week 2</v>
      </c>
    </row>
    <row r="55" customFormat="false" ht="15" hidden="false" customHeight="false" outlineLevel="0" collapsed="false">
      <c r="A55" s="2" t="n">
        <v>46519</v>
      </c>
      <c r="B55" s="3" t="s">
        <v>9</v>
      </c>
      <c r="C55" s="4" t="n">
        <v>0.666666666666667</v>
      </c>
      <c r="D55" s="4" t="n">
        <v>0.6875</v>
      </c>
      <c r="E55" s="5" t="n">
        <f aca="false">(D55-C55)*24</f>
        <v>0.5</v>
      </c>
      <c r="F55" s="6" t="s">
        <v>37</v>
      </c>
      <c r="G55" s="3" t="s">
        <v>14</v>
      </c>
      <c r="H55" s="3" t="s">
        <v>15</v>
      </c>
      <c r="I55" s="3" t="str">
        <f aca="false">IF(A55&lt;=DATE(2027,5,9),"Week 1","Week 2")</f>
        <v>Week 2</v>
      </c>
    </row>
    <row r="56" customFormat="false" ht="15" hidden="false" customHeight="false" outlineLevel="0" collapsed="false">
      <c r="A56" s="2" t="n">
        <v>46520</v>
      </c>
      <c r="B56" s="3" t="s">
        <v>27</v>
      </c>
      <c r="C56" s="4" t="n">
        <v>0.375</v>
      </c>
      <c r="D56" s="4" t="n">
        <v>0.385416666666667</v>
      </c>
      <c r="E56" s="5" t="n">
        <f aca="false">(D56-C56)*24</f>
        <v>0.25</v>
      </c>
      <c r="F56" s="6" t="s">
        <v>10</v>
      </c>
      <c r="G56" s="3" t="s">
        <v>11</v>
      </c>
      <c r="H56" s="3" t="s">
        <v>12</v>
      </c>
      <c r="I56" s="3" t="str">
        <f aca="false">IF(A56&lt;=DATE(2027,5,9),"Week 1","Week 2")</f>
        <v>Week 2</v>
      </c>
    </row>
    <row r="57" customFormat="false" ht="15" hidden="false" customHeight="false" outlineLevel="0" collapsed="false">
      <c r="A57" s="2" t="n">
        <v>46520</v>
      </c>
      <c r="B57" s="3" t="s">
        <v>27</v>
      </c>
      <c r="C57" s="4" t="n">
        <v>0.395833333333333</v>
      </c>
      <c r="D57" s="4" t="n">
        <v>0.427083333333333</v>
      </c>
      <c r="E57" s="5" t="n">
        <f aca="false">(D57-C57)*24</f>
        <v>0.75</v>
      </c>
      <c r="F57" s="6" t="s">
        <v>68</v>
      </c>
      <c r="G57" s="3" t="s">
        <v>17</v>
      </c>
      <c r="H57" s="3" t="s">
        <v>18</v>
      </c>
      <c r="I57" s="3" t="str">
        <f aca="false">IF(A57&lt;=DATE(2027,5,9),"Week 1","Week 2")</f>
        <v>Week 2</v>
      </c>
    </row>
    <row r="58" customFormat="false" ht="15" hidden="false" customHeight="false" outlineLevel="0" collapsed="false">
      <c r="A58" s="2" t="n">
        <v>46520</v>
      </c>
      <c r="B58" s="3" t="s">
        <v>27</v>
      </c>
      <c r="C58" s="4" t="n">
        <v>0.4375</v>
      </c>
      <c r="D58" s="4" t="n">
        <v>0.46875</v>
      </c>
      <c r="E58" s="5" t="n">
        <f aca="false">(D58-C58)*24</f>
        <v>0.75</v>
      </c>
      <c r="F58" s="6" t="s">
        <v>69</v>
      </c>
      <c r="G58" s="3" t="s">
        <v>17</v>
      </c>
      <c r="H58" s="3" t="s">
        <v>18</v>
      </c>
      <c r="I58" s="3" t="str">
        <f aca="false">IF(A58&lt;=DATE(2027,5,9),"Week 1","Week 2")</f>
        <v>Week 2</v>
      </c>
    </row>
    <row r="59" customFormat="false" ht="15" hidden="false" customHeight="false" outlineLevel="0" collapsed="false">
      <c r="A59" s="2" t="n">
        <v>46520</v>
      </c>
      <c r="B59" s="3" t="s">
        <v>27</v>
      </c>
      <c r="C59" s="4" t="n">
        <v>0.479166666666667</v>
      </c>
      <c r="D59" s="4" t="n">
        <v>0.5</v>
      </c>
      <c r="E59" s="5" t="n">
        <f aca="false">(D59-C59)*24</f>
        <v>0.5</v>
      </c>
      <c r="F59" s="6" t="s">
        <v>70</v>
      </c>
      <c r="G59" s="3" t="s">
        <v>17</v>
      </c>
      <c r="H59" s="3" t="s">
        <v>18</v>
      </c>
      <c r="I59" s="3" t="str">
        <f aca="false">IF(A59&lt;=DATE(2027,5,9),"Week 1","Week 2")</f>
        <v>Week 2</v>
      </c>
    </row>
    <row r="60" customFormat="false" ht="15" hidden="false" customHeight="false" outlineLevel="0" collapsed="false">
      <c r="A60" s="2" t="n">
        <v>46520</v>
      </c>
      <c r="B60" s="3" t="s">
        <v>27</v>
      </c>
      <c r="C60" s="4" t="n">
        <v>0.541666666666667</v>
      </c>
      <c r="D60" s="4" t="n">
        <v>0.5625</v>
      </c>
      <c r="E60" s="5" t="n">
        <f aca="false">(D60-C60)*24</f>
        <v>0.5</v>
      </c>
      <c r="F60" s="6" t="s">
        <v>71</v>
      </c>
      <c r="G60" s="3" t="s">
        <v>14</v>
      </c>
      <c r="H60" s="3" t="s">
        <v>15</v>
      </c>
      <c r="I60" s="3" t="str">
        <f aca="false">IF(A60&lt;=DATE(2027,5,9),"Week 1","Week 2")</f>
        <v>Week 2</v>
      </c>
    </row>
    <row r="61" customFormat="false" ht="15" hidden="false" customHeight="false" outlineLevel="0" collapsed="false">
      <c r="A61" s="2" t="n">
        <v>46520</v>
      </c>
      <c r="B61" s="3" t="s">
        <v>27</v>
      </c>
      <c r="C61" s="4" t="n">
        <v>0.572916666666667</v>
      </c>
      <c r="D61" s="4" t="n">
        <v>0.59375</v>
      </c>
      <c r="E61" s="5" t="n">
        <f aca="false">(D61-C61)*24</f>
        <v>0.5</v>
      </c>
      <c r="F61" s="6" t="s">
        <v>72</v>
      </c>
      <c r="G61" s="3" t="s">
        <v>11</v>
      </c>
      <c r="H61" s="3" t="s">
        <v>73</v>
      </c>
      <c r="I61" s="3" t="str">
        <f aca="false">IF(A61&lt;=DATE(2027,5,9),"Week 1","Week 2")</f>
        <v>Week 2</v>
      </c>
    </row>
    <row r="62" customFormat="false" ht="15" hidden="false" customHeight="false" outlineLevel="0" collapsed="false">
      <c r="A62" s="2" t="n">
        <v>46520</v>
      </c>
      <c r="B62" s="3" t="s">
        <v>27</v>
      </c>
      <c r="C62" s="4" t="n">
        <v>0.604166666666667</v>
      </c>
      <c r="D62" s="4" t="n">
        <v>0.635416666666667</v>
      </c>
      <c r="E62" s="5" t="n">
        <f aca="false">(D62-C62)*24</f>
        <v>0.75</v>
      </c>
      <c r="F62" s="6" t="s">
        <v>65</v>
      </c>
      <c r="G62" s="3" t="s">
        <v>14</v>
      </c>
      <c r="H62" s="3" t="s">
        <v>15</v>
      </c>
      <c r="I62" s="3" t="str">
        <f aca="false">IF(A62&lt;=DATE(2027,5,9),"Week 1","Week 2")</f>
        <v>Week 2</v>
      </c>
    </row>
    <row r="63" customFormat="false" ht="15" hidden="false" customHeight="false" outlineLevel="0" collapsed="false">
      <c r="A63" s="2" t="n">
        <v>46520</v>
      </c>
      <c r="B63" s="3" t="s">
        <v>27</v>
      </c>
      <c r="C63" s="4" t="n">
        <v>0.645833333333333</v>
      </c>
      <c r="D63" s="4" t="n">
        <v>0.666666666666667</v>
      </c>
      <c r="E63" s="5" t="n">
        <f aca="false">(D63-C63)*24</f>
        <v>0.5</v>
      </c>
      <c r="F63" s="6" t="s">
        <v>35</v>
      </c>
      <c r="G63" s="3" t="s">
        <v>11</v>
      </c>
      <c r="H63" s="3" t="s">
        <v>36</v>
      </c>
      <c r="I63" s="3" t="str">
        <f aca="false">IF(A63&lt;=DATE(2027,5,9),"Week 1","Week 2")</f>
        <v>Week 2</v>
      </c>
    </row>
    <row r="64" customFormat="false" ht="15" hidden="false" customHeight="false" outlineLevel="0" collapsed="false">
      <c r="A64" s="2" t="n">
        <v>46520</v>
      </c>
      <c r="B64" s="3" t="s">
        <v>27</v>
      </c>
      <c r="C64" s="4" t="n">
        <v>0.677083333333333</v>
      </c>
      <c r="D64" s="4" t="n">
        <v>0.697916666666667</v>
      </c>
      <c r="E64" s="5" t="n">
        <f aca="false">(D64-C64)*24</f>
        <v>0.5</v>
      </c>
      <c r="F64" s="6" t="s">
        <v>26</v>
      </c>
      <c r="G64" s="3" t="s">
        <v>14</v>
      </c>
      <c r="H64" s="3" t="s">
        <v>15</v>
      </c>
      <c r="I64" s="3" t="str">
        <f aca="false">IF(A64&lt;=DATE(2027,5,9),"Week 1","Week 2")</f>
        <v>Week 2</v>
      </c>
    </row>
    <row r="65" customFormat="false" ht="15" hidden="false" customHeight="false" outlineLevel="0" collapsed="false">
      <c r="A65" s="2" t="n">
        <v>46521</v>
      </c>
      <c r="B65" s="3" t="s">
        <v>38</v>
      </c>
      <c r="C65" s="4" t="n">
        <v>0.375</v>
      </c>
      <c r="D65" s="4" t="n">
        <v>0.385416666666667</v>
      </c>
      <c r="E65" s="5" t="n">
        <f aca="false">(D65-C65)*24</f>
        <v>0.25</v>
      </c>
      <c r="F65" s="6" t="s">
        <v>10</v>
      </c>
      <c r="G65" s="3" t="s">
        <v>11</v>
      </c>
      <c r="H65" s="3" t="s">
        <v>12</v>
      </c>
      <c r="I65" s="3" t="str">
        <f aca="false">IF(A65&lt;=DATE(2027,5,9),"Week 1","Week 2")</f>
        <v>Week 2</v>
      </c>
    </row>
    <row r="66" customFormat="false" ht="15" hidden="false" customHeight="false" outlineLevel="0" collapsed="false">
      <c r="A66" s="2" t="n">
        <v>46521</v>
      </c>
      <c r="B66" s="3" t="s">
        <v>38</v>
      </c>
      <c r="C66" s="4" t="n">
        <v>0.395833333333333</v>
      </c>
      <c r="D66" s="4" t="n">
        <v>0.427083333333333</v>
      </c>
      <c r="E66" s="5" t="n">
        <f aca="false">(D66-C66)*24</f>
        <v>0.75</v>
      </c>
      <c r="F66" s="6" t="s">
        <v>74</v>
      </c>
      <c r="G66" s="3" t="s">
        <v>17</v>
      </c>
      <c r="H66" s="3" t="s">
        <v>18</v>
      </c>
      <c r="I66" s="3" t="str">
        <f aca="false">IF(A66&lt;=DATE(2027,5,9),"Week 1","Week 2")</f>
        <v>Week 2</v>
      </c>
    </row>
    <row r="67" customFormat="false" ht="15" hidden="false" customHeight="false" outlineLevel="0" collapsed="false">
      <c r="A67" s="2" t="n">
        <v>46521</v>
      </c>
      <c r="B67" s="3" t="s">
        <v>38</v>
      </c>
      <c r="C67" s="4" t="n">
        <v>0.4375</v>
      </c>
      <c r="D67" s="4" t="n">
        <v>0.46875</v>
      </c>
      <c r="E67" s="5" t="n">
        <f aca="false">(D67-C67)*24</f>
        <v>0.75</v>
      </c>
      <c r="F67" s="6" t="s">
        <v>75</v>
      </c>
      <c r="G67" s="3" t="s">
        <v>17</v>
      </c>
      <c r="H67" s="3" t="s">
        <v>18</v>
      </c>
      <c r="I67" s="3" t="str">
        <f aca="false">IF(A67&lt;=DATE(2027,5,9),"Week 1","Week 2")</f>
        <v>Week 2</v>
      </c>
    </row>
    <row r="68" customFormat="false" ht="15" hidden="false" customHeight="false" outlineLevel="0" collapsed="false">
      <c r="A68" s="2" t="n">
        <v>46521</v>
      </c>
      <c r="B68" s="3" t="s">
        <v>38</v>
      </c>
      <c r="C68" s="4" t="n">
        <v>0.479166666666667</v>
      </c>
      <c r="D68" s="4" t="n">
        <v>0.5</v>
      </c>
      <c r="E68" s="5" t="n">
        <f aca="false">(D68-C68)*24</f>
        <v>0.5</v>
      </c>
      <c r="F68" s="6" t="s">
        <v>76</v>
      </c>
      <c r="G68" s="3" t="s">
        <v>11</v>
      </c>
      <c r="H68" s="3" t="s">
        <v>73</v>
      </c>
      <c r="I68" s="3" t="str">
        <f aca="false">IF(A68&lt;=DATE(2027,5,9),"Week 1","Week 2")</f>
        <v>Week 2</v>
      </c>
    </row>
    <row r="69" customFormat="false" ht="15" hidden="false" customHeight="false" outlineLevel="0" collapsed="false">
      <c r="A69" s="2" t="n">
        <v>46521</v>
      </c>
      <c r="B69" s="3" t="s">
        <v>38</v>
      </c>
      <c r="C69" s="4" t="n">
        <v>0.541666666666667</v>
      </c>
      <c r="D69" s="4" t="n">
        <v>0.5625</v>
      </c>
      <c r="E69" s="5" t="n">
        <f aca="false">(D69-C69)*24</f>
        <v>0.5</v>
      </c>
      <c r="F69" s="6" t="s">
        <v>43</v>
      </c>
      <c r="G69" s="3" t="s">
        <v>11</v>
      </c>
      <c r="H69" s="3" t="s">
        <v>20</v>
      </c>
      <c r="I69" s="3" t="str">
        <f aca="false">IF(A69&lt;=DATE(2027,5,9),"Week 1","Week 2")</f>
        <v>Week 2</v>
      </c>
    </row>
    <row r="70" customFormat="false" ht="15" hidden="false" customHeight="false" outlineLevel="0" collapsed="false">
      <c r="A70" s="2" t="n">
        <v>46521</v>
      </c>
      <c r="B70" s="3" t="s">
        <v>38</v>
      </c>
      <c r="C70" s="4" t="n">
        <v>0.572916666666667</v>
      </c>
      <c r="D70" s="4" t="n">
        <v>0.604166666666667</v>
      </c>
      <c r="E70" s="5" t="n">
        <f aca="false">(D70-C70)*24</f>
        <v>0.75</v>
      </c>
      <c r="F70" s="6" t="s">
        <v>77</v>
      </c>
      <c r="G70" s="3" t="s">
        <v>14</v>
      </c>
      <c r="H70" s="3" t="s">
        <v>15</v>
      </c>
      <c r="I70" s="3" t="str">
        <f aca="false">IF(A70&lt;=DATE(2027,5,9),"Week 1","Week 2")</f>
        <v>Week 2</v>
      </c>
    </row>
    <row r="71" customFormat="false" ht="15" hidden="false" customHeight="false" outlineLevel="0" collapsed="false">
      <c r="A71" s="2" t="n">
        <v>46521</v>
      </c>
      <c r="B71" s="3" t="s">
        <v>38</v>
      </c>
      <c r="C71" s="4" t="n">
        <v>0.614583333333333</v>
      </c>
      <c r="D71" s="4" t="n">
        <v>0.635416666666667</v>
      </c>
      <c r="E71" s="5" t="n">
        <f aca="false">(D71-C71)*24</f>
        <v>0.5</v>
      </c>
      <c r="F71" s="6" t="s">
        <v>78</v>
      </c>
      <c r="G71" s="3" t="s">
        <v>14</v>
      </c>
      <c r="H71" s="3" t="s">
        <v>15</v>
      </c>
      <c r="I71" s="3" t="str">
        <f aca="false">IF(A71&lt;=DATE(2027,5,9),"Week 1","Week 2")</f>
        <v>Week 2</v>
      </c>
    </row>
    <row r="72" customFormat="false" ht="15" hidden="false" customHeight="false" outlineLevel="0" collapsed="false">
      <c r="A72" s="2" t="n">
        <v>46521</v>
      </c>
      <c r="B72" s="3" t="s">
        <v>38</v>
      </c>
      <c r="C72" s="4" t="n">
        <v>0.645833333333333</v>
      </c>
      <c r="D72" s="4" t="n">
        <v>0.666666666666667</v>
      </c>
      <c r="E72" s="5" t="n">
        <f aca="false">(D72-C72)*24</f>
        <v>0.5</v>
      </c>
      <c r="F72" s="6" t="s">
        <v>79</v>
      </c>
      <c r="G72" s="3" t="s">
        <v>11</v>
      </c>
      <c r="H72" s="3" t="s">
        <v>36</v>
      </c>
      <c r="I72" s="3" t="str">
        <f aca="false">IF(A72&lt;=DATE(2027,5,9),"Week 1","Week 2")</f>
        <v>Week 2</v>
      </c>
    </row>
    <row r="73" customFormat="false" ht="15" hidden="false" customHeight="false" outlineLevel="0" collapsed="false">
      <c r="A73" s="2" t="n">
        <v>46521</v>
      </c>
      <c r="B73" s="3" t="s">
        <v>38</v>
      </c>
      <c r="C73" s="4" t="n">
        <v>0.677083333333333</v>
      </c>
      <c r="D73" s="4" t="n">
        <v>0.708333333333333</v>
      </c>
      <c r="E73" s="5" t="n">
        <f aca="false">(D73-C73)*24</f>
        <v>0.75</v>
      </c>
      <c r="F73" s="6" t="s">
        <v>80</v>
      </c>
      <c r="G73" s="3" t="s">
        <v>11</v>
      </c>
      <c r="H73" s="3" t="s">
        <v>81</v>
      </c>
      <c r="I73" s="3" t="str">
        <f aca="false">IF(A73&lt;=DATE(2027,5,9),"Week 1","Week 2")</f>
        <v>Week 2</v>
      </c>
    </row>
    <row r="75" customFormat="false" ht="15" hidden="false" customHeight="false" outlineLevel="0" collapsed="false">
      <c r="D75" s="7" t="s">
        <v>82</v>
      </c>
      <c r="E75" s="8" t="n">
        <f aca="false">SUM(E2:E73)</f>
        <v>42.25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9" t="s">
        <v>83</v>
      </c>
    </row>
    <row r="2" customFormat="false" ht="15" hidden="false" customHeight="false" outlineLevel="0" collapsed="false">
      <c r="A2" s="10" t="s">
        <v>84</v>
      </c>
    </row>
    <row r="4" customFormat="false" ht="15" hidden="false" customHeight="false" outlineLevel="0" collapsed="false">
      <c r="A4" s="7" t="s">
        <v>85</v>
      </c>
    </row>
    <row r="5" customFormat="false" ht="15" hidden="false" customHeight="false" outlineLevel="0" collapsed="false">
      <c r="A5" s="1" t="s">
        <v>7</v>
      </c>
      <c r="B5" s="1" t="s">
        <v>86</v>
      </c>
      <c r="C5" s="1" t="s">
        <v>87</v>
      </c>
    </row>
    <row r="6" customFormat="false" ht="15" hidden="false" customHeight="false" outlineLevel="0" collapsed="false">
      <c r="A6" s="6" t="s">
        <v>18</v>
      </c>
      <c r="B6" s="11" t="n">
        <f aca="false">SUMIF('Time Audit'!H:H,A6,'Time Audit'!E:E)</f>
        <v>12.75</v>
      </c>
      <c r="C6" s="12" t="n">
        <f aca="false">B6/$B$16</f>
        <v>0.301775147928994</v>
      </c>
    </row>
    <row r="7" customFormat="false" ht="15" hidden="false" customHeight="false" outlineLevel="0" collapsed="false">
      <c r="A7" s="6" t="s">
        <v>36</v>
      </c>
      <c r="B7" s="11" t="n">
        <f aca="false">SUMIF('Time Audit'!H:H,A7,'Time Audit'!E:E)</f>
        <v>2.25</v>
      </c>
      <c r="C7" s="12" t="n">
        <f aca="false">B7/$B$16</f>
        <v>0.0532544378698225</v>
      </c>
    </row>
    <row r="8" customFormat="false" ht="15" hidden="false" customHeight="false" outlineLevel="0" collapsed="false">
      <c r="A8" s="6" t="s">
        <v>12</v>
      </c>
      <c r="B8" s="11" t="n">
        <f aca="false">SUMIF('Time Audit'!H:H,A8,'Time Audit'!E:E)</f>
        <v>2</v>
      </c>
      <c r="C8" s="12" t="n">
        <f aca="false">B8/$B$16</f>
        <v>0.0473372781065089</v>
      </c>
    </row>
    <row r="9" customFormat="false" ht="15" hidden="false" customHeight="false" outlineLevel="0" collapsed="false">
      <c r="A9" s="6" t="s">
        <v>24</v>
      </c>
      <c r="B9" s="11" t="n">
        <f aca="false">SUMIF('Time Audit'!H:H,A9,'Time Audit'!E:E)</f>
        <v>1</v>
      </c>
      <c r="C9" s="12" t="n">
        <f aca="false">B9/$B$16</f>
        <v>0.0236686390532544</v>
      </c>
    </row>
    <row r="10" customFormat="false" ht="15" hidden="false" customHeight="false" outlineLevel="0" collapsed="false">
      <c r="A10" s="6" t="s">
        <v>20</v>
      </c>
      <c r="B10" s="11" t="n">
        <f aca="false">SUMIF('Time Audit'!H:H,A10,'Time Audit'!E:E)</f>
        <v>2.5</v>
      </c>
      <c r="C10" s="12" t="n">
        <f aca="false">B10/$B$16</f>
        <v>0.0591715976331361</v>
      </c>
    </row>
    <row r="11" customFormat="false" ht="15" hidden="false" customHeight="false" outlineLevel="0" collapsed="false">
      <c r="A11" s="6" t="s">
        <v>32</v>
      </c>
      <c r="B11" s="11" t="n">
        <f aca="false">SUMIF('Time Audit'!H:H,A11,'Time Audit'!E:E)</f>
        <v>1.5</v>
      </c>
      <c r="C11" s="12" t="n">
        <f aca="false">B11/$B$16</f>
        <v>0.0355029585798817</v>
      </c>
    </row>
    <row r="12" customFormat="false" ht="15" hidden="false" customHeight="false" outlineLevel="0" collapsed="false">
      <c r="A12" s="6" t="s">
        <v>73</v>
      </c>
      <c r="B12" s="11" t="n">
        <f aca="false">SUMIF('Time Audit'!H:H,A12,'Time Audit'!E:E)</f>
        <v>1</v>
      </c>
      <c r="C12" s="12" t="n">
        <f aca="false">B12/$B$16</f>
        <v>0.0236686390532544</v>
      </c>
    </row>
    <row r="13" customFormat="false" ht="15" hidden="false" customHeight="false" outlineLevel="0" collapsed="false">
      <c r="A13" s="6" t="s">
        <v>15</v>
      </c>
      <c r="B13" s="11" t="n">
        <f aca="false">SUMIF('Time Audit'!H:H,A13,'Time Audit'!E:E)</f>
        <v>17.75</v>
      </c>
      <c r="C13" s="12" t="n">
        <f aca="false">B13/$B$16</f>
        <v>0.420118343195266</v>
      </c>
    </row>
    <row r="14" customFormat="false" ht="15" hidden="false" customHeight="false" outlineLevel="0" collapsed="false">
      <c r="A14" s="6" t="s">
        <v>47</v>
      </c>
      <c r="B14" s="11" t="n">
        <f aca="false">SUMIF('Time Audit'!H:H,A14,'Time Audit'!E:E)</f>
        <v>0.75</v>
      </c>
      <c r="C14" s="12" t="n">
        <f aca="false">B14/$B$16</f>
        <v>0.0177514792899408</v>
      </c>
    </row>
    <row r="15" customFormat="false" ht="15" hidden="false" customHeight="false" outlineLevel="0" collapsed="false">
      <c r="A15" s="6" t="s">
        <v>81</v>
      </c>
      <c r="B15" s="11" t="n">
        <f aca="false">SUMIF('Time Audit'!H:H,A15,'Time Audit'!E:E)</f>
        <v>0.75</v>
      </c>
      <c r="C15" s="12" t="n">
        <f aca="false">B15/$B$16</f>
        <v>0.0177514792899408</v>
      </c>
    </row>
    <row r="16" customFormat="false" ht="15" hidden="false" customHeight="false" outlineLevel="0" collapsed="false">
      <c r="A16" s="13" t="s">
        <v>88</v>
      </c>
      <c r="B16" s="14" t="n">
        <f aca="false">SUM(B6:B15)</f>
        <v>42.25</v>
      </c>
      <c r="C16" s="15" t="n">
        <f aca="false">B16/$B$16</f>
        <v>1</v>
      </c>
    </row>
    <row r="18" customFormat="false" ht="15" hidden="false" customHeight="false" outlineLevel="0" collapsed="false">
      <c r="A18" s="7" t="s">
        <v>89</v>
      </c>
    </row>
    <row r="19" customFormat="false" ht="15" hidden="false" customHeight="false" outlineLevel="0" collapsed="false">
      <c r="A19" s="1" t="s">
        <v>6</v>
      </c>
      <c r="B19" s="1" t="s">
        <v>86</v>
      </c>
      <c r="C19" s="1" t="s">
        <v>87</v>
      </c>
    </row>
    <row r="20" customFormat="false" ht="15" hidden="false" customHeight="false" outlineLevel="0" collapsed="false">
      <c r="A20" s="6" t="s">
        <v>17</v>
      </c>
      <c r="B20" s="11" t="n">
        <f aca="false">SUMIF('Time Audit'!G:G,A20,'Time Audit'!E:E)</f>
        <v>12.75</v>
      </c>
      <c r="C20" s="12" t="n">
        <f aca="false">B20/$B$16</f>
        <v>0.301775147928994</v>
      </c>
    </row>
    <row r="21" customFormat="false" ht="15" hidden="false" customHeight="false" outlineLevel="0" collapsed="false">
      <c r="A21" s="6" t="s">
        <v>11</v>
      </c>
      <c r="B21" s="11" t="n">
        <f aca="false">SUMIF('Time Audit'!G:G,A21,'Time Audit'!E:E)</f>
        <v>12.5</v>
      </c>
      <c r="C21" s="12" t="n">
        <f aca="false">B21/$B$16</f>
        <v>0.295857988165681</v>
      </c>
    </row>
    <row r="22" customFormat="false" ht="15" hidden="false" customHeight="false" outlineLevel="0" collapsed="false">
      <c r="A22" s="6" t="s">
        <v>14</v>
      </c>
      <c r="B22" s="11" t="n">
        <f aca="false">SUMIF('Time Audit'!G:G,A22,'Time Audit'!E:E)</f>
        <v>17</v>
      </c>
      <c r="C22" s="12" t="n">
        <f aca="false">B22/$B$16</f>
        <v>0.402366863905325</v>
      </c>
    </row>
    <row r="24" customFormat="false" ht="15" hidden="false" customHeight="false" outlineLevel="0" collapsed="false">
      <c r="A24" s="7" t="s">
        <v>90</v>
      </c>
    </row>
    <row r="25" customFormat="false" ht="15" hidden="false" customHeight="false" outlineLevel="0" collapsed="false">
      <c r="A25" s="1" t="s">
        <v>8</v>
      </c>
      <c r="B25" s="1" t="s">
        <v>86</v>
      </c>
      <c r="C25" s="1" t="s">
        <v>87</v>
      </c>
    </row>
    <row r="26" customFormat="false" ht="15" hidden="false" customHeight="false" outlineLevel="0" collapsed="false">
      <c r="A26" s="6" t="s">
        <v>91</v>
      </c>
      <c r="B26" s="11" t="n">
        <f aca="false">SUMIF('Time Audit'!I:I,A26,'Time Audit'!E:E)</f>
        <v>16.25</v>
      </c>
      <c r="C26" s="12" t="n">
        <f aca="false">B26/$B$16</f>
        <v>0.384615384615385</v>
      </c>
    </row>
    <row r="27" customFormat="false" ht="15" hidden="false" customHeight="false" outlineLevel="0" collapsed="false">
      <c r="A27" s="6" t="s">
        <v>92</v>
      </c>
      <c r="B27" s="11" t="n">
        <f aca="false">SUMIF('Time Audit'!I:I,A27,'Time Audit'!E:E)</f>
        <v>26</v>
      </c>
      <c r="C27" s="12" t="n">
        <f aca="false">B27/$B$16</f>
        <v>0.615384615384615</v>
      </c>
    </row>
    <row r="29" customFormat="false" ht="15" hidden="false" customHeight="false" outlineLevel="0" collapsed="false">
      <c r="A29" s="16" t="s">
        <v>93</v>
      </c>
    </row>
    <row r="30" customFormat="false" ht="15" hidden="false" customHeight="false" outlineLevel="0" collapsed="false">
      <c r="A30" s="17" t="s">
        <v>94</v>
      </c>
      <c r="B30" s="18" t="n">
        <f aca="false">SUMIF('Time Audit'!G:G,"External",'Time Audit'!E:E)/$B$16</f>
        <v>0.301775147928994</v>
      </c>
    </row>
    <row r="31" customFormat="false" ht="15" hidden="false" customHeight="false" outlineLevel="0" collapsed="false">
      <c r="A31" s="17" t="s">
        <v>95</v>
      </c>
      <c r="B31" s="18" t="n">
        <f aca="false">1-B30</f>
        <v>0.698224852071006</v>
      </c>
    </row>
    <row r="32" customFormat="false" ht="15" hidden="false" customHeight="false" outlineLevel="0" collapsed="false">
      <c r="A32" s="1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7" min="6" style="0" width="9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9" t="s">
        <v>97</v>
      </c>
    </row>
    <row r="2" customFormat="false" ht="15" hidden="false" customHeight="false" outlineLevel="0" collapsed="false">
      <c r="A2" s="10" t="s">
        <v>98</v>
      </c>
    </row>
    <row r="4" customFormat="false" ht="15" hidden="false" customHeight="false" outlineLevel="0" collapsed="false">
      <c r="A4" s="1" t="s">
        <v>99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86</v>
      </c>
      <c r="H4" s="1" t="s">
        <v>105</v>
      </c>
    </row>
    <row r="5" customFormat="false" ht="23.85" hidden="false" customHeight="false" outlineLevel="0" collapsed="false">
      <c r="A5" s="6" t="s">
        <v>106</v>
      </c>
      <c r="B5" s="20" t="n">
        <v>76000</v>
      </c>
      <c r="C5" s="6" t="s">
        <v>107</v>
      </c>
      <c r="D5" s="6" t="s">
        <v>108</v>
      </c>
      <c r="E5" s="6" t="s">
        <v>109</v>
      </c>
      <c r="F5" s="3" t="n">
        <f aca="false">COUNTIF('Time Audit'!F:F,"*Greenline*")</f>
        <v>6</v>
      </c>
      <c r="G5" s="11" t="n">
        <f aca="false">SUMIF('Time Audit'!F:F,"*Greenline*",'Time Audit'!E:E)</f>
        <v>3.75</v>
      </c>
      <c r="H5" s="21" t="s">
        <v>110</v>
      </c>
    </row>
    <row r="6" customFormat="false" ht="23.85" hidden="false" customHeight="false" outlineLevel="0" collapsed="false">
      <c r="A6" s="6" t="s">
        <v>111</v>
      </c>
      <c r="B6" s="20" t="n">
        <v>110000</v>
      </c>
      <c r="C6" s="6" t="s">
        <v>112</v>
      </c>
      <c r="D6" s="6" t="s">
        <v>113</v>
      </c>
      <c r="E6" s="6" t="s">
        <v>114</v>
      </c>
      <c r="F6" s="3" t="n">
        <f aca="false">COUNTIF('Time Audit'!F:F,"*Apex*")</f>
        <v>6</v>
      </c>
      <c r="G6" s="11" t="n">
        <f aca="false">SUMIF('Time Audit'!F:F,"*Apex*",'Time Audit'!E:E)</f>
        <v>4</v>
      </c>
      <c r="H6" s="21" t="s">
        <v>115</v>
      </c>
    </row>
    <row r="7" customFormat="false" ht="23.85" hidden="false" customHeight="false" outlineLevel="0" collapsed="false">
      <c r="A7" s="6" t="s">
        <v>116</v>
      </c>
      <c r="B7" s="20" t="n">
        <v>120000</v>
      </c>
      <c r="C7" s="6" t="s">
        <v>117</v>
      </c>
      <c r="D7" s="6" t="s">
        <v>118</v>
      </c>
      <c r="E7" s="6" t="s">
        <v>119</v>
      </c>
      <c r="F7" s="3" t="n">
        <f aca="false">COUNTIF('Time Audit'!F:F,"*BrightPath*")</f>
        <v>4</v>
      </c>
      <c r="G7" s="11" t="n">
        <f aca="false">SUMIF('Time Audit'!F:F,"*BrightPath*",'Time Audit'!E:E)</f>
        <v>2.75</v>
      </c>
      <c r="H7" s="21" t="s">
        <v>115</v>
      </c>
    </row>
    <row r="8" customFormat="false" ht="23.85" hidden="false" customHeight="false" outlineLevel="0" collapsed="false">
      <c r="A8" s="6" t="s">
        <v>120</v>
      </c>
      <c r="B8" s="20" t="n">
        <v>95000</v>
      </c>
      <c r="C8" s="6" t="s">
        <v>121</v>
      </c>
      <c r="D8" s="6" t="s">
        <v>122</v>
      </c>
      <c r="E8" s="6" t="s">
        <v>123</v>
      </c>
      <c r="F8" s="3" t="n">
        <f aca="false">COUNTIF('Time Audit'!F:F,"*NovaTech*")</f>
        <v>4</v>
      </c>
      <c r="G8" s="11" t="n">
        <f aca="false">SUMIF('Time Audit'!F:F,"*NovaTech*",'Time Audit'!E:E)</f>
        <v>2.5</v>
      </c>
      <c r="H8" s="22" t="s">
        <v>124</v>
      </c>
    </row>
    <row r="9" customFormat="false" ht="23.85" hidden="false" customHeight="false" outlineLevel="0" collapsed="false">
      <c r="A9" s="6" t="s">
        <v>125</v>
      </c>
      <c r="B9" s="20" t="n">
        <v>90000</v>
      </c>
      <c r="C9" s="6" t="s">
        <v>126</v>
      </c>
      <c r="D9" s="6" t="s">
        <v>127</v>
      </c>
      <c r="E9" s="6" t="s">
        <v>128</v>
      </c>
      <c r="F9" s="3" t="n">
        <f aca="false">COUNTIF('Time Audit'!F:F,"*Coastal*")</f>
        <v>6</v>
      </c>
      <c r="G9" s="11" t="n">
        <f aca="false">SUMIF('Time Audit'!F:F,"*Coastal*",'Time Audit'!E:E)</f>
        <v>4.5</v>
      </c>
      <c r="H9" s="23" t="s">
        <v>129</v>
      </c>
    </row>
    <row r="10" customFormat="false" ht="15" hidden="false" customHeight="false" outlineLevel="0" collapsed="false">
      <c r="A10" s="6" t="s">
        <v>130</v>
      </c>
      <c r="B10" s="20" t="n">
        <v>75000</v>
      </c>
      <c r="C10" s="6" t="s">
        <v>131</v>
      </c>
      <c r="D10" s="6" t="s">
        <v>132</v>
      </c>
      <c r="E10" s="6" t="s">
        <v>133</v>
      </c>
      <c r="F10" s="3" t="n">
        <f aca="false">COUNTIF('Time Audit'!F:F,"*Meridian*")</f>
        <v>2</v>
      </c>
      <c r="G10" s="11" t="n">
        <f aca="false">SUMIF('Time Audit'!F:F,"*Meridian*",'Time Audit'!E:E)</f>
        <v>1.5</v>
      </c>
      <c r="H10" s="23" t="s">
        <v>129</v>
      </c>
    </row>
    <row r="11" customFormat="false" ht="15" hidden="false" customHeight="false" outlineLevel="0" collapsed="false">
      <c r="A11" s="7" t="s">
        <v>134</v>
      </c>
      <c r="B11" s="24" t="n">
        <f aca="false">SUM(B5:B10)</f>
        <v>566000</v>
      </c>
      <c r="F11" s="25" t="n">
        <f aca="false">SUM(F5:F10)</f>
        <v>28</v>
      </c>
      <c r="G11" s="26" t="n">
        <f aca="false">SUM(G5:G10)</f>
        <v>19</v>
      </c>
    </row>
    <row r="14" customFormat="false" ht="15" hidden="false" customHeight="false" outlineLevel="0" collapsed="false">
      <c r="A14" s="27" t="s">
        <v>135</v>
      </c>
    </row>
    <row r="15" customFormat="false" ht="15" hidden="false" customHeight="false" outlineLevel="0" collapsed="false">
      <c r="A15" s="17" t="s">
        <v>136</v>
      </c>
      <c r="B15" s="28" t="n">
        <v>450000</v>
      </c>
    </row>
    <row r="16" customFormat="false" ht="15" hidden="false" customHeight="false" outlineLevel="0" collapsed="false">
      <c r="A16" s="29" t="s">
        <v>137</v>
      </c>
      <c r="B16" s="28" t="n">
        <f aca="false">B5</f>
        <v>76000</v>
      </c>
    </row>
    <row r="17" customFormat="false" ht="15" hidden="false" customHeight="false" outlineLevel="0" collapsed="false">
      <c r="A17" s="17" t="s">
        <v>138</v>
      </c>
      <c r="B17" s="30" t="n">
        <f aca="false">B16/B15</f>
        <v>0.168888888888889</v>
      </c>
    </row>
    <row r="18" customFormat="false" ht="15" hidden="false" customHeight="false" outlineLevel="0" collapsed="false">
      <c r="A18" s="29" t="s">
        <v>139</v>
      </c>
      <c r="B18" s="28" t="n">
        <f aca="false">B6+B7+B9+B10</f>
        <v>395000</v>
      </c>
    </row>
    <row r="19" customFormat="false" ht="15" hidden="false" customHeight="false" outlineLevel="0" collapsed="false">
      <c r="A19" s="29" t="s">
        <v>140</v>
      </c>
      <c r="B19" s="28" t="n">
        <f aca="false">B8</f>
        <v>95000</v>
      </c>
    </row>
    <row r="20" customFormat="false" ht="15" hidden="false" customHeight="false" outlineLevel="0" collapsed="false">
      <c r="A20" s="17" t="s">
        <v>141</v>
      </c>
      <c r="B20" s="28" t="n">
        <f aca="false">B15-B16</f>
        <v>374000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2026-06-14T07:35:34Z</dcterms:created>
  <dc:creator>openpyxl</dc:creator>
  <dc:description/>
  <dc:language>en-US</dc:language>
  <cp:lastModifiedBy/>
  <dcterms:modified xsi:type="dcterms:W3CDTF">2026-06-14T07:35:34Z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